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arbe\Desktop\"/>
    </mc:Choice>
  </mc:AlternateContent>
  <xr:revisionPtr revIDLastSave="0" documentId="13_ncr:1_{999BFBDC-A726-4D50-B7E3-593994FB81CB}" xr6:coauthVersionLast="47" xr6:coauthVersionMax="47" xr10:uidLastSave="{00000000-0000-0000-0000-000000000000}"/>
  <bookViews>
    <workbookView xWindow="-120" yWindow="-120" windowWidth="24240" windowHeight="13020" activeTab="2" xr2:uid="{1AA0079F-2D18-4CF2-9AA3-B09E025F3725}"/>
  </bookViews>
  <sheets>
    <sheet name="Connection" sheetId="3" r:id="rId1"/>
    <sheet name="Pivot" sheetId="10" state="hidden" r:id="rId2"/>
    <sheet name="Data" sheetId="1" r:id="rId3"/>
    <sheet name="Location" sheetId="2" r:id="rId4"/>
    <sheet name="Result" sheetId="4" r:id="rId5"/>
    <sheet name="Result (2)" sheetId="7" r:id="rId6"/>
    <sheet name="Bar_Chart" sheetId="8" r:id="rId7"/>
    <sheet name="Multi_line_PY" sheetId="11" r:id="rId8"/>
    <sheet name="order number months" sheetId="5" state="hidden" r:id="rId9"/>
  </sheets>
  <definedNames>
    <definedName name="_xleta.PY" hidden="1" xlm="1">#NAME?</definedName>
    <definedName name="FromArray_1">_xlfn.ANCHORARRAY(Bar_Chart!$B$2)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" l="1"/>
  <c r="B2" i="3" a="1"/>
  <c r="B3" i="3" a="1"/>
  <c r="B3" i="3" l="1"/>
  <c r="B2" i="3"/>
  <c r="B5" i="3" a="1"/>
  <c r="B5" i="3" l="1"/>
  <c r="B7" i="3" a="1"/>
  <c r="B7" i="3" l="1"/>
  <c r="B9" i="3" a="1"/>
  <c r="B9" i="3" l="1"/>
  <c r="B10" i="3" a="1"/>
  <c r="B10" i="3" l="1"/>
  <c r="L4" i="1" a="1"/>
  <c r="L4" i="1" l="1"/>
  <c r="L6" i="1" a="1"/>
  <c r="L6" i="1" l="1"/>
  <c r="L17" i="1" a="1"/>
  <c r="L17" i="1" l="1"/>
  <c r="M6" i="1" a="1"/>
  <c r="M6" i="1" s="1"/>
  <c r="L25" i="1" a="1"/>
  <c r="L25" i="1" l="1"/>
  <c r="M17" i="1" a="1"/>
  <c r="M17" i="1" s="1"/>
  <c r="B2" i="2" a="1"/>
  <c r="B2" i="2" l="1"/>
  <c r="M25" i="1" a="1"/>
  <c r="M25" i="1" s="1"/>
  <c r="B5" i="2" a="1"/>
  <c r="B5" i="2" l="1"/>
  <c r="K5" i="2" a="1"/>
  <c r="K5" i="2" l="1"/>
  <c r="C5" i="2" a="1"/>
  <c r="C5" i="2" s="1"/>
  <c r="Q15" i="2" a="1"/>
  <c r="Q15" i="2" l="1"/>
  <c r="L5" i="2" a="1"/>
  <c r="L5" i="2" s="1"/>
  <c r="M17" i="2" a="1"/>
  <c r="M17" i="2" l="1"/>
  <c r="C20" i="2" a="1"/>
  <c r="C20" i="2" l="1"/>
  <c r="N17" i="2" a="1"/>
  <c r="N17" i="2" s="1"/>
  <c r="B4" i="4" a="1"/>
  <c r="B4" i="4" l="1"/>
  <c r="D20" i="2" a="1"/>
  <c r="D20" i="2" s="1"/>
  <c r="L4" i="4" a="1"/>
  <c r="F16" i="4" a="1"/>
  <c r="L4" i="4" l="1"/>
  <c r="M4" i="4" s="1" a="1"/>
  <c r="M4" i="4" s="1"/>
  <c r="F16" i="4"/>
  <c r="C4" i="4" a="1"/>
  <c r="C4" i="4" s="1"/>
  <c r="G18" i="4" a="1"/>
  <c r="G18" i="4" l="1"/>
  <c r="B4" i="7" a="1"/>
  <c r="B4" i="7" l="1"/>
  <c r="H18" i="4" a="1"/>
  <c r="H18" i="4" s="1"/>
  <c r="H16" i="7" a="1"/>
  <c r="H16" i="7" l="1"/>
  <c r="C4" i="7" a="1"/>
  <c r="C4" i="7" s="1"/>
  <c r="I18" i="7" a="1"/>
  <c r="I18" i="7" l="1"/>
  <c r="S28" i="7" a="1"/>
  <c r="S28" i="7" l="1"/>
  <c r="J18" i="7" a="1"/>
  <c r="J18" i="7" s="1"/>
  <c r="S29" i="7" a="1"/>
  <c r="S29" i="7" l="1"/>
  <c r="S30" i="7" a="1"/>
  <c r="S30" i="7" l="1"/>
  <c r="S31" i="7" a="1"/>
  <c r="S31" i="7" l="1"/>
  <c r="S33" i="7" a="1"/>
  <c r="S33" i="7" l="1"/>
  <c r="A2" i="8" a="1"/>
  <c r="A2" i="8" l="1"/>
  <c r="T32" i="7" a="1"/>
  <c r="T32" i="7" s="1"/>
  <c r="A5" i="8" a="1"/>
  <c r="A5" i="8" l="1"/>
  <c r="F2" i="11" a="1"/>
  <c r="F2" i="11" l="1"/>
  <c r="B5" i="8" a="1"/>
  <c r="B5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3"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</futureMetadata>
  <cellMetadata count="1">
    <bk>
      <rc t="1" v="0"/>
    </bk>
  </cellMetadata>
  <valueMetadata count="23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import pandas as pd</code>
    </pythonScript>
    <pythonScript>
      <code>pd.__version__</code>
    </pythonScript>
    <pythonScript>
      <code>month_order = ["Jan", "Feb", "Mar"]</code>
    </pythonScript>
    <pythonScript>
      <code>from pandas.api.types import CategoricalDtype</code>
    </pythonScript>
    <pythonScript>
      <code>import seaborn as sns</code>
    </pythonScript>
    <pythonScript>
      <code>sns.__version__</code>
    </pythonScript>
    <pythonScript>
      <code>df =xl(%P2%, headers=True)</code>
    </pythonScript>
    <pythonScript>
      <code>df.describe()</code>
    </pythonScript>
    <pythonScript>
      <code>sample = xl(%P2%, headers=True)</code>
    </pythonScript>
    <pythonScript>
      <code>location =df.iloc[1]</code>
    </pythonScript>
    <pythonScript>
      <code>df.employee.sum()</code>
    </pythonScript>
    <pythonScript>
      <code>df.groupby(["project","month"]).value.sum()</code>
    </pythonScript>
    <pythonScript>
      <code>df.pivot_table(index="project", columns="month", values="value", aggfunc="sum")</code>
    </pythonScript>
    <pythonScript>
      <code xml:space="preserve">
df["month"] = pd.Categorical(df["month"], categories=month_order, ordered=True)</code>
    </pythonScript>
    <pythonScript>
      <code>pivot = df.pivot_table(index="project", columns="month", values="value", aggfunc="sum")</code>
    </pythonScript>
    <pythonScript>
      <code>df1=df.iloc[20:80,[1,2,]]</code>
    </pythonScript>
    <pythonScript>
      <code>df2=df.groupby("project").agg({'value':'sum','employee':'count'})</code>
    </pythonScript>
    <pythonScript>
      <code>dfcondition = df.groupby("project").agg(
    employee_count=('employee', 'count'),
    conditional_value_sum=('value', lambda x: x[df.loc[x.index, 'turnover'] == 'Y'].sum())
)</code>
    </pythonScript>
    <pythonScript>
      <code>df2['result']=df2['value']/df2['employee']</code>
    </pythonScript>
    <pythonScript>
      <code>df2</code>
    </pythonScript>
    <pythonScript>
      <code>df2=df.groupby(['project','month']).agg({'value':'sum','employee':'count'})</code>
    </pythonScript>
    <pythonScript>
      <code>pivot = df2.pivot_table(
    index='project',
    columns='month',
    values=['value', 'employee', 'result']
)</code>
    </pythonScript>
    <pythonScript>
      <code>pivot.columns = [f"{month}_{metric}" for metric, month in pivot.columns]</code>
    </pythonScript>
    <pythonScript>
      <code>def sort_custom(col):
    metric_order = {'value': 0, 'employee': 1, 'result': 2}
    month, metric = col.split('_', 1)
    return (month_order.index(month), metric_order.get(metric, 99))</code>
    </pythonScript>
    <pythonScript>
      <code>pivot = pivot.reindex(sorted(pivot.columns, key=sort_custom), axis=1)</code>
    </pythonScript>
    <pythonScript>
      <code>pivot.reset_index(inplace=True)</code>
    </pythonScript>
    <pythonScript>
      <code>pivot</code>
    </pythonScript>
    <pythonScript>
      <code>sns.displot(pivot, y='Jan_result', col='project')</code>
    </pythonScript>
    <pythonScript>
      <code>sns.catplot(
    data=df2,
    x='project',
    y='result',
    hue='month',
    kind='bar'
)</code>
    </pythonScript>
    <pythonScript>
      <code xml:space="preserve">
df = xl(%P2%)
results = df.groupby(0).sum()
print(results)</code>
    </pythonScript>
  </pythonScripts>
</python>
</file>

<file path=xl/sharedStrings.xml><?xml version="1.0" encoding="utf-8"?>
<sst xmlns="http://schemas.openxmlformats.org/spreadsheetml/2006/main" count="340" uniqueCount="65">
  <si>
    <t>project</t>
  </si>
  <si>
    <t>employee</t>
  </si>
  <si>
    <t>turnover</t>
  </si>
  <si>
    <t>month</t>
  </si>
  <si>
    <t>A</t>
  </si>
  <si>
    <t>B</t>
  </si>
  <si>
    <t>C</t>
  </si>
  <si>
    <t>D</t>
  </si>
  <si>
    <t>Y</t>
  </si>
  <si>
    <t>N</t>
  </si>
  <si>
    <t>Jan</t>
  </si>
  <si>
    <t>select below to see sample database</t>
  </si>
  <si>
    <t>G5 adds a descibe formula to the df; then it is previewed</t>
  </si>
  <si>
    <t>locate a section of the df</t>
  </si>
  <si>
    <t>sum a column</t>
  </si>
  <si>
    <t>value</t>
  </si>
  <si>
    <t xml:space="preserve">hardcode range df; </t>
  </si>
  <si>
    <t>iloc: pull a section of a predefined df (rows then columns)</t>
  </si>
  <si>
    <t>import pandas</t>
  </si>
  <si>
    <t>aggragation function for multiple count and sum</t>
  </si>
  <si>
    <t>redisplay table with added column</t>
  </si>
  <si>
    <t>import pandas as pd</t>
  </si>
  <si>
    <t># Define the correct order</t>
  </si>
  <si>
    <t>month_order = ["Jan", "Feb", "Mar", "Apr", "May", "Jun",</t>
  </si>
  <si>
    <t xml:space="preserve">               "Jul", "Aug", "Sep", "Oct", "Nov", "Dec"]</t>
  </si>
  <si>
    <t># Set months column as categorical</t>
  </si>
  <si>
    <t>df["months"] = pd.Categorical(df["months"], categories=month_order, ordered=True)</t>
  </si>
  <si>
    <t># Now create the pivot</t>
  </si>
  <si>
    <t>pivot = df.pivot_table(index="project", columns="months", values="value", aggfunc="sum")</t>
  </si>
  <si>
    <t># Sort the columns correctly</t>
  </si>
  <si>
    <t>pivot = pivot.reindex(columns=month_order)</t>
  </si>
  <si>
    <t>Feb</t>
  </si>
  <si>
    <t>Mar</t>
  </si>
  <si>
    <t>Create a real-time pivot table with python with groupby (no refresh needed)</t>
  </si>
  <si>
    <t>Add a third dimentional to the pivot</t>
  </si>
  <si>
    <t>order months gregorian with categorical</t>
  </si>
  <si>
    <t>Turnover problem  - Need a calculated field based on pivot results - Pivot of a pivot (like SQL groupby but legible)</t>
  </si>
  <si>
    <t>Row Labels</t>
  </si>
  <si>
    <t>Count of employee</t>
  </si>
  <si>
    <t>Sum of value</t>
  </si>
  <si>
    <t>Column Labels</t>
  </si>
  <si>
    <t>(All)</t>
  </si>
  <si>
    <t>create a dynamic calculated column value/employee (result)</t>
  </si>
  <si>
    <t xml:space="preserve">Dual axis - aggragation function for multiple count and sum </t>
  </si>
  <si>
    <t>combine value name header with column name header; then move index name back to align</t>
  </si>
  <si>
    <t>histogram</t>
  </si>
  <si>
    <t>sort columns</t>
  </si>
  <si>
    <t>Bar</t>
  </si>
  <si>
    <t>Value per employee per project month over month</t>
  </si>
  <si>
    <t>hopefully it is three months again next time</t>
  </si>
  <si>
    <t>what if I need a filter only on values?</t>
  </si>
  <si>
    <t>rather not frankenstien this?</t>
  </si>
  <si>
    <t>conditional filter only only one variable (value when turnover = y)</t>
  </si>
  <si>
    <t>LOD</t>
  </si>
  <si>
    <r>
      <t xml:space="preserve">Those values </t>
    </r>
    <r>
      <rPr>
        <b/>
        <sz val="11"/>
        <color theme="1"/>
        <rFont val="Aptos Narrow"/>
        <family val="2"/>
        <scheme val="minor"/>
      </rPr>
      <t>don’t count</t>
    </r>
    <r>
      <rPr>
        <sz val="11"/>
        <color theme="1"/>
        <rFont val="Aptos Narrow"/>
        <family val="2"/>
        <scheme val="minor"/>
      </rPr>
      <t xml:space="preserve"> for our reasoning</t>
    </r>
  </si>
  <si>
    <t>Letter</t>
  </si>
  <si>
    <t xml:space="preserve">number </t>
  </si>
  <si>
    <t>day</t>
  </si>
  <si>
    <t>a</t>
  </si>
  <si>
    <t>b</t>
  </si>
  <si>
    <t>m</t>
  </si>
  <si>
    <t>t</t>
  </si>
  <si>
    <t>th</t>
  </si>
  <si>
    <t>w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</si>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</sst>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B05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0" fontId="4" fillId="2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6" fillId="0" borderId="0" xfId="0" applyFont="1"/>
    <xf numFmtId="0" fontId="0" fillId="4" borderId="0" xfId="0" applyFill="1"/>
    <xf numFmtId="0" fontId="4" fillId="4" borderId="0" xfId="0" applyFont="1" applyFill="1"/>
    <xf numFmtId="164" fontId="0" fillId="4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6" borderId="0" xfId="0" applyFill="1"/>
  </cellXfs>
  <cellStyles count="1">
    <cellStyle name="Normal" xfId="0" builtinId="0"/>
  </cellStyles>
  <dxfs count="10"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Array" Target="richData/rdarray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SupportingPropertyBag" Target="richData/rdsupportingpropertybag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5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microsoft.com/office/2017/06/relationships/rdSupportingPropertyBagStructure" Target="richData/rdsupportingpropertybag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23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19" Type="http://schemas.microsoft.com/office/2017/06/relationships/richStyles" Target="richData/rich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microsoft.com/office/2017/06/relationships/rdRichValueTypes" Target="richData/rdRichValueTyp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2</xdr:row>
      <xdr:rowOff>142875</xdr:rowOff>
    </xdr:from>
    <xdr:to>
      <xdr:col>8</xdr:col>
      <xdr:colOff>571500</xdr:colOff>
      <xdr:row>4</xdr:row>
      <xdr:rowOff>123825</xdr:rowOff>
    </xdr:to>
    <xdr:sp macro="[0]!Fu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32939E-8728-3561-00B2-5D12915427CB}"/>
            </a:ext>
          </a:extLst>
        </xdr:cNvPr>
        <xdr:cNvSpPr/>
      </xdr:nvSpPr>
      <xdr:spPr>
        <a:xfrm>
          <a:off x="3895725" y="523875"/>
          <a:ext cx="1666875" cy="361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00"/>
              </a:solidFill>
            </a:rPr>
            <a:t>Click here</a:t>
          </a:r>
          <a:r>
            <a:rPr lang="en-US" sz="1100" b="1" baseline="0">
              <a:solidFill>
                <a:srgbClr val="FFFF00"/>
              </a:solidFill>
            </a:rPr>
            <a:t> </a:t>
          </a:r>
          <a:r>
            <a:rPr lang="en-US" sz="1100" baseline="0"/>
            <a:t>to learn more</a:t>
          </a:r>
          <a:endParaRPr lang="en-US" sz="1100"/>
        </a:p>
      </xdr:txBody>
    </xdr:sp>
    <xdr:clientData/>
  </xdr:twoCellAnchor>
  <xdr:twoCellAnchor>
    <xdr:from>
      <xdr:col>7</xdr:col>
      <xdr:colOff>85725</xdr:colOff>
      <xdr:row>87</xdr:row>
      <xdr:rowOff>123825</xdr:rowOff>
    </xdr:from>
    <xdr:to>
      <xdr:col>8</xdr:col>
      <xdr:colOff>457200</xdr:colOff>
      <xdr:row>89</xdr:row>
      <xdr:rowOff>142875</xdr:rowOff>
    </xdr:to>
    <xdr:sp macro="[0]!Add_to_tab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66C8F30-082A-2081-A9D8-9B7613CFA308}"/>
            </a:ext>
          </a:extLst>
        </xdr:cNvPr>
        <xdr:cNvSpPr/>
      </xdr:nvSpPr>
      <xdr:spPr>
        <a:xfrm>
          <a:off x="4467225" y="16697325"/>
          <a:ext cx="981075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 to Table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495300</xdr:colOff>
      <xdr:row>28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978F6F9-9A95-7CAB-A274-9BFF954E5060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Bar_Chart!B5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2975" y="762000"/>
          <a:ext cx="5372100" cy="465772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 r" refreshedDate="45767.750054745367" createdVersion="8" refreshedVersion="8" minRefreshableVersion="3" recordCount="88" xr:uid="{586262A2-E16E-4B63-8338-B94FB4623BEA}">
  <cacheSource type="worksheet">
    <worksheetSource name="Table1"/>
  </cacheSource>
  <cacheFields count="5">
    <cacheField name="project" numFmtId="0">
      <sharedItems count="4">
        <s v="A"/>
        <s v="B"/>
        <s v="C"/>
        <s v="D"/>
      </sharedItems>
    </cacheField>
    <cacheField name="employee" numFmtId="0">
      <sharedItems containsSemiMixedTypes="0" containsString="0" containsNumber="1" containsInteger="1" minValue="11" maxValue="1311"/>
    </cacheField>
    <cacheField name="turnover" numFmtId="0">
      <sharedItems count="2">
        <s v="Y"/>
        <s v="N"/>
      </sharedItems>
    </cacheField>
    <cacheField name="month" numFmtId="0">
      <sharedItems count="3">
        <s v="Jan"/>
        <s v="Feb"/>
        <s v="Mar"/>
      </sharedItems>
    </cacheField>
    <cacheField name="value" numFmtId="0">
      <sharedItems containsSemiMixedTypes="0" containsString="0" containsNumber="1" minValue="0" maxValue="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x v="0"/>
    <n v="123"/>
    <x v="0"/>
    <x v="0"/>
    <n v="4"/>
  </r>
  <r>
    <x v="0"/>
    <n v="321"/>
    <x v="1"/>
    <x v="0"/>
    <n v="3"/>
  </r>
  <r>
    <x v="1"/>
    <n v="519"/>
    <x v="0"/>
    <x v="0"/>
    <n v="20"/>
  </r>
  <r>
    <x v="2"/>
    <n v="717"/>
    <x v="1"/>
    <x v="0"/>
    <n v="2.2000000000000002"/>
  </r>
  <r>
    <x v="3"/>
    <n v="915"/>
    <x v="0"/>
    <x v="0"/>
    <n v="0.7"/>
  </r>
  <r>
    <x v="1"/>
    <n v="1113"/>
    <x v="0"/>
    <x v="0"/>
    <n v="6"/>
  </r>
  <r>
    <x v="1"/>
    <n v="1311"/>
    <x v="0"/>
    <x v="0"/>
    <n v="12"/>
  </r>
  <r>
    <x v="0"/>
    <n v="11"/>
    <x v="0"/>
    <x v="0"/>
    <n v="13"/>
  </r>
  <r>
    <x v="2"/>
    <n v="1200"/>
    <x v="0"/>
    <x v="0"/>
    <n v="0.9"/>
  </r>
  <r>
    <x v="3"/>
    <n v="32"/>
    <x v="0"/>
    <x v="0"/>
    <n v="0"/>
  </r>
  <r>
    <x v="1"/>
    <n v="33"/>
    <x v="0"/>
    <x v="0"/>
    <n v="21"/>
  </r>
  <r>
    <x v="0"/>
    <n v="34"/>
    <x v="0"/>
    <x v="0"/>
    <n v="1"/>
  </r>
  <r>
    <x v="0"/>
    <n v="35"/>
    <x v="0"/>
    <x v="0"/>
    <n v="0.5"/>
  </r>
  <r>
    <x v="1"/>
    <n v="32"/>
    <x v="0"/>
    <x v="0"/>
    <n v="0.5"/>
  </r>
  <r>
    <x v="2"/>
    <n v="33"/>
    <x v="0"/>
    <x v="0"/>
    <n v="0.5"/>
  </r>
  <r>
    <x v="3"/>
    <n v="35"/>
    <x v="0"/>
    <x v="0"/>
    <n v="0.4"/>
  </r>
  <r>
    <x v="1"/>
    <n v="35"/>
    <x v="0"/>
    <x v="0"/>
    <n v="4"/>
  </r>
  <r>
    <x v="1"/>
    <n v="32"/>
    <x v="0"/>
    <x v="0"/>
    <n v="3"/>
  </r>
  <r>
    <x v="0"/>
    <n v="33"/>
    <x v="0"/>
    <x v="0"/>
    <n v="20"/>
  </r>
  <r>
    <x v="0"/>
    <n v="34"/>
    <x v="0"/>
    <x v="0"/>
    <n v="2.2000000000000002"/>
  </r>
  <r>
    <x v="0"/>
    <n v="35"/>
    <x v="0"/>
    <x v="0"/>
    <n v="0.7"/>
  </r>
  <r>
    <x v="1"/>
    <n v="123"/>
    <x v="0"/>
    <x v="0"/>
    <n v="6"/>
  </r>
  <r>
    <x v="2"/>
    <n v="321"/>
    <x v="0"/>
    <x v="0"/>
    <n v="12"/>
  </r>
  <r>
    <x v="3"/>
    <n v="519"/>
    <x v="0"/>
    <x v="0"/>
    <n v="13"/>
  </r>
  <r>
    <x v="1"/>
    <n v="717"/>
    <x v="0"/>
    <x v="0"/>
    <n v="0.9"/>
  </r>
  <r>
    <x v="1"/>
    <n v="915"/>
    <x v="0"/>
    <x v="0"/>
    <n v="0"/>
  </r>
  <r>
    <x v="0"/>
    <n v="1113"/>
    <x v="0"/>
    <x v="0"/>
    <n v="21"/>
  </r>
  <r>
    <x v="2"/>
    <n v="1311"/>
    <x v="0"/>
    <x v="0"/>
    <n v="1"/>
  </r>
  <r>
    <x v="3"/>
    <n v="11"/>
    <x v="0"/>
    <x v="0"/>
    <n v="0.5"/>
  </r>
  <r>
    <x v="1"/>
    <n v="1200"/>
    <x v="0"/>
    <x v="0"/>
    <n v="0.5"/>
  </r>
  <r>
    <x v="0"/>
    <n v="123"/>
    <x v="1"/>
    <x v="0"/>
    <n v="0.5"/>
  </r>
  <r>
    <x v="0"/>
    <n v="321"/>
    <x v="0"/>
    <x v="0"/>
    <n v="0.4"/>
  </r>
  <r>
    <x v="1"/>
    <n v="519"/>
    <x v="0"/>
    <x v="0"/>
    <n v="4"/>
  </r>
  <r>
    <x v="2"/>
    <n v="717"/>
    <x v="0"/>
    <x v="0"/>
    <n v="3"/>
  </r>
  <r>
    <x v="3"/>
    <n v="915"/>
    <x v="0"/>
    <x v="0"/>
    <n v="20"/>
  </r>
  <r>
    <x v="1"/>
    <n v="1113"/>
    <x v="0"/>
    <x v="0"/>
    <n v="2.2000000000000002"/>
  </r>
  <r>
    <x v="1"/>
    <n v="1311"/>
    <x v="0"/>
    <x v="0"/>
    <n v="0.7"/>
  </r>
  <r>
    <x v="0"/>
    <n v="11"/>
    <x v="0"/>
    <x v="0"/>
    <n v="6"/>
  </r>
  <r>
    <x v="0"/>
    <n v="1200"/>
    <x v="0"/>
    <x v="0"/>
    <n v="12"/>
  </r>
  <r>
    <x v="0"/>
    <n v="444"/>
    <x v="0"/>
    <x v="0"/>
    <n v="13"/>
  </r>
  <r>
    <x v="1"/>
    <n v="444"/>
    <x v="0"/>
    <x v="0"/>
    <n v="0.9"/>
  </r>
  <r>
    <x v="2"/>
    <n v="444"/>
    <x v="0"/>
    <x v="0"/>
    <n v="0"/>
  </r>
  <r>
    <x v="3"/>
    <n v="444"/>
    <x v="0"/>
    <x v="0"/>
    <n v="21"/>
  </r>
  <r>
    <x v="1"/>
    <n v="444"/>
    <x v="1"/>
    <x v="0"/>
    <n v="1"/>
  </r>
  <r>
    <x v="1"/>
    <n v="445"/>
    <x v="0"/>
    <x v="0"/>
    <n v="0.5"/>
  </r>
  <r>
    <x v="0"/>
    <n v="446"/>
    <x v="1"/>
    <x v="0"/>
    <n v="0.5"/>
  </r>
  <r>
    <x v="2"/>
    <n v="447"/>
    <x v="0"/>
    <x v="0"/>
    <n v="0.5"/>
  </r>
  <r>
    <x v="3"/>
    <n v="448"/>
    <x v="0"/>
    <x v="0"/>
    <n v="0.4"/>
  </r>
  <r>
    <x v="1"/>
    <n v="449"/>
    <x v="0"/>
    <x v="0"/>
    <n v="4"/>
  </r>
  <r>
    <x v="0"/>
    <n v="450"/>
    <x v="0"/>
    <x v="0"/>
    <n v="3"/>
  </r>
  <r>
    <x v="0"/>
    <n v="451"/>
    <x v="0"/>
    <x v="0"/>
    <n v="20"/>
  </r>
  <r>
    <x v="1"/>
    <n v="452"/>
    <x v="0"/>
    <x v="0"/>
    <n v="2.2000000000000002"/>
  </r>
  <r>
    <x v="2"/>
    <n v="453"/>
    <x v="0"/>
    <x v="0"/>
    <n v="0.7"/>
  </r>
  <r>
    <x v="3"/>
    <n v="454"/>
    <x v="0"/>
    <x v="0"/>
    <n v="6"/>
  </r>
  <r>
    <x v="1"/>
    <n v="455"/>
    <x v="0"/>
    <x v="0"/>
    <n v="12"/>
  </r>
  <r>
    <x v="1"/>
    <n v="456"/>
    <x v="0"/>
    <x v="0"/>
    <n v="13"/>
  </r>
  <r>
    <x v="0"/>
    <n v="457"/>
    <x v="0"/>
    <x v="0"/>
    <n v="0.9"/>
  </r>
  <r>
    <x v="0"/>
    <n v="458"/>
    <x v="0"/>
    <x v="0"/>
    <n v="0"/>
  </r>
  <r>
    <x v="0"/>
    <n v="459"/>
    <x v="0"/>
    <x v="0"/>
    <n v="21"/>
  </r>
  <r>
    <x v="1"/>
    <n v="460"/>
    <x v="0"/>
    <x v="0"/>
    <n v="1"/>
  </r>
  <r>
    <x v="2"/>
    <n v="461"/>
    <x v="0"/>
    <x v="0"/>
    <n v="0.5"/>
  </r>
  <r>
    <x v="3"/>
    <n v="462"/>
    <x v="0"/>
    <x v="0"/>
    <n v="0.5"/>
  </r>
  <r>
    <x v="1"/>
    <n v="463"/>
    <x v="0"/>
    <x v="0"/>
    <n v="0.5"/>
  </r>
  <r>
    <x v="1"/>
    <n v="464"/>
    <x v="0"/>
    <x v="0"/>
    <n v="0.4"/>
  </r>
  <r>
    <x v="0"/>
    <n v="465"/>
    <x v="0"/>
    <x v="0"/>
    <n v="4"/>
  </r>
  <r>
    <x v="2"/>
    <n v="466"/>
    <x v="0"/>
    <x v="0"/>
    <n v="3"/>
  </r>
  <r>
    <x v="3"/>
    <n v="467"/>
    <x v="0"/>
    <x v="0"/>
    <n v="20"/>
  </r>
  <r>
    <x v="1"/>
    <n v="468"/>
    <x v="0"/>
    <x v="0"/>
    <n v="2.2000000000000002"/>
  </r>
  <r>
    <x v="0"/>
    <n v="469"/>
    <x v="0"/>
    <x v="1"/>
    <n v="0.7"/>
  </r>
  <r>
    <x v="0"/>
    <n v="470"/>
    <x v="0"/>
    <x v="1"/>
    <n v="6"/>
  </r>
  <r>
    <x v="1"/>
    <n v="471"/>
    <x v="0"/>
    <x v="1"/>
    <n v="12"/>
  </r>
  <r>
    <x v="2"/>
    <n v="472"/>
    <x v="0"/>
    <x v="1"/>
    <n v="13"/>
  </r>
  <r>
    <x v="3"/>
    <n v="473"/>
    <x v="0"/>
    <x v="1"/>
    <n v="0.9"/>
  </r>
  <r>
    <x v="1"/>
    <n v="474"/>
    <x v="0"/>
    <x v="1"/>
    <n v="0"/>
  </r>
  <r>
    <x v="1"/>
    <n v="475"/>
    <x v="0"/>
    <x v="1"/>
    <n v="21"/>
  </r>
  <r>
    <x v="0"/>
    <n v="476"/>
    <x v="0"/>
    <x v="1"/>
    <n v="1"/>
  </r>
  <r>
    <x v="0"/>
    <n v="477"/>
    <x v="0"/>
    <x v="2"/>
    <n v="0.5"/>
  </r>
  <r>
    <x v="0"/>
    <n v="478"/>
    <x v="0"/>
    <x v="2"/>
    <n v="0.5"/>
  </r>
  <r>
    <x v="1"/>
    <n v="479"/>
    <x v="0"/>
    <x v="2"/>
    <n v="0.5"/>
  </r>
  <r>
    <x v="2"/>
    <n v="480"/>
    <x v="0"/>
    <x v="2"/>
    <n v="0.4"/>
  </r>
  <r>
    <x v="3"/>
    <n v="481"/>
    <x v="0"/>
    <x v="2"/>
    <n v="4"/>
  </r>
  <r>
    <x v="1"/>
    <n v="482"/>
    <x v="0"/>
    <x v="2"/>
    <n v="3"/>
  </r>
  <r>
    <x v="1"/>
    <n v="483"/>
    <x v="0"/>
    <x v="2"/>
    <n v="20"/>
  </r>
  <r>
    <x v="0"/>
    <n v="484"/>
    <x v="0"/>
    <x v="2"/>
    <n v="2.2000000000000002"/>
  </r>
  <r>
    <x v="0"/>
    <n v="485"/>
    <x v="0"/>
    <x v="2"/>
    <n v="0.7"/>
  </r>
  <r>
    <x v="0"/>
    <n v="486"/>
    <x v="0"/>
    <x v="2"/>
    <n v="6"/>
  </r>
  <r>
    <x v="1"/>
    <n v="487"/>
    <x v="0"/>
    <x v="2"/>
    <n v="12"/>
  </r>
  <r>
    <x v="2"/>
    <n v="488"/>
    <x v="0"/>
    <x v="2"/>
    <n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A39E51-39ED-4A7F-8091-83ABEADD5EED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multipleFieldFilters="0">
  <location ref="A3:G9" firstHeaderRow="1" firstDataRow="3" firstDataCol="1" rowPageCount="1" colPageCount="1"/>
  <pivotFields count="5">
    <pivotField axis="axisRow" showAll="0" defaultSubtotal="0">
      <items count="4">
        <item x="0"/>
        <item x="1"/>
        <item x="2"/>
        <item x="3"/>
      </items>
    </pivotField>
    <pivotField dataField="1" showAll="0" defaultSubtotal="0"/>
    <pivotField axis="axisPage" multipleItemSelectionAllowed="1" showAll="0" defaultSubtotal="0">
      <items count="2">
        <item x="1"/>
        <item x="0"/>
      </items>
    </pivotField>
    <pivotField axis="axisCol" showAll="0" defaultSubtotal="0">
      <items count="3">
        <item x="0"/>
        <item x="1"/>
        <item x="2"/>
      </items>
    </pivotField>
    <pivotField dataField="1" showAll="0" defaultSubtotal="0"/>
  </pivotFields>
  <rowFields count="1">
    <field x="0"/>
  </rowFields>
  <rowItems count="4">
    <i>
      <x/>
    </i>
    <i>
      <x v="1"/>
    </i>
    <i>
      <x v="2"/>
    </i>
    <i>
      <x v="3"/>
    </i>
  </rowItems>
  <colFields count="2">
    <field x="3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pageFields count="1">
    <pageField fld="2" hier="-1"/>
  </pageFields>
  <dataFields count="2">
    <dataField name="Count of employee" fld="1" subtotal="count" baseField="0" baseItem="0"/>
    <dataField name="Sum of value" fld="4" baseField="0" baseItem="0"/>
  </dataFields>
  <formats count="10">
    <format dxfId="9">
      <pivotArea collapsedLevelsAreSubtotals="1" fieldPosition="0">
        <references count="3">
          <reference field="4294967294" count="2" selected="0">
            <x v="0"/>
            <x v="1"/>
          </reference>
          <reference field="0" count="1">
            <x v="0"/>
          </reference>
          <reference field="3" count="1" selected="0">
            <x v="1"/>
          </reference>
        </references>
      </pivotArea>
    </format>
    <format dxfId="8">
      <pivotArea type="origin" dataOnly="0" labelOnly="1" outline="0" fieldPosition="0"/>
    </format>
    <format dxfId="7">
      <pivotArea field="3" type="button" dataOnly="0" labelOnly="1" outline="0" axis="axisCol" fieldPosition="0"/>
    </format>
    <format dxfId="6">
      <pivotArea field="-2" type="button" dataOnly="0" labelOnly="1" outline="0" axis="axisCol" fieldPosition="1"/>
    </format>
    <format dxfId="5">
      <pivotArea type="topRight" dataOnly="0" labelOnly="1" outline="0" fieldPosition="0"/>
    </format>
    <format dxfId="4">
      <pivotArea field="0" type="button" dataOnly="0" labelOnly="1" outline="0" axis="axisRow" fieldPosition="0"/>
    </format>
    <format dxfId="3">
      <pivotArea dataOnly="0" labelOnly="1" fieldPosition="0">
        <references count="1">
          <reference field="3" count="0"/>
        </references>
      </pivotArea>
    </format>
    <format dxfId="2">
      <pivotArea dataOnly="0" labelOnly="1" outline="0" fieldPosition="0">
        <references count="2">
          <reference field="4294967294" count="2">
            <x v="0"/>
            <x v="1"/>
          </reference>
          <reference field="3" count="1" selected="0">
            <x v="0"/>
          </reference>
        </references>
      </pivotArea>
    </format>
    <format dxfId="1">
      <pivotArea dataOnly="0" labelOnly="1" outline="0" fieldPosition="0">
        <references count="2">
          <reference field="4294967294" count="2">
            <x v="0"/>
            <x v="1"/>
          </reference>
          <reference field="3" count="1" selected="0">
            <x v="1"/>
          </reference>
        </references>
      </pivotArea>
    </format>
    <format dxfId="0">
      <pivotArea dataOnly="0" labelOnly="1" outline="0" fieldPosition="0">
        <references count="2">
          <reference field="4294967294" count="2">
            <x v="0"/>
            <x v="1"/>
          </reference>
          <reference field="3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8">
  <a r="3">
    <v t="s">Jan</v>
    <v t="s">Feb</v>
    <v t="s">Mar</v>
  </a>
  <a r="12" c="6">
    <v t="s"/>
    <v t="s">project</v>
    <v t="s">employee</v>
    <v t="s">turnover</v>
    <v t="s">month</v>
    <v t="s">value</v>
    <v>0</v>
    <v t="s">A</v>
    <v>123</v>
    <v t="s">Y</v>
    <v t="s">Jan</v>
    <v>4</v>
    <v>1</v>
    <v t="s">A</v>
    <v>321</v>
    <v t="s">N</v>
    <v t="s">Jan</v>
    <v>3</v>
    <v>2</v>
    <v t="s">B</v>
    <v>519</v>
    <v t="s">Y</v>
    <v t="s">Jan</v>
    <v>20</v>
    <v>3</v>
    <v t="s">C</v>
    <v>717</v>
    <v t="s">N</v>
    <v t="s">Jan</v>
    <v>2.2000000000000002</v>
    <v>4</v>
    <v t="s">D</v>
    <v>915</v>
    <v t="s">Y</v>
    <v t="s">Jan</v>
    <v>0.7</v>
    <v t="s">...</v>
    <v t="s">...</v>
    <v t="s">...</v>
    <v t="s">...</v>
    <v t="s">...</v>
    <v t="s">...</v>
    <v>83</v>
    <v t="s">A</v>
    <v>484</v>
    <v t="s">Y</v>
    <v t="s">Mar</v>
    <v>2.2000000000000002</v>
    <v>84</v>
    <v t="s">A</v>
    <v>485</v>
    <v t="s">Y</v>
    <v t="s">Mar</v>
    <v>0.7</v>
    <v>85</v>
    <v t="s">A</v>
    <v>486</v>
    <v t="s">Y</v>
    <v t="s">Mar</v>
    <v>6</v>
    <v>86</v>
    <v t="s">B</v>
    <v>487</v>
    <v t="s">Y</v>
    <v t="s">Mar</v>
    <v>12</v>
    <v>87</v>
    <v t="s">C</v>
    <v>488</v>
    <v t="s">Y</v>
    <v t="s">Mar</v>
    <v>13</v>
  </a>
  <a r="9" c="3">
    <v t="s"/>
    <v t="s">employee</v>
    <v t="s">value</v>
    <v t="s">count</v>
    <v>88</v>
    <v>88</v>
    <v t="s">mean</v>
    <v>475.44318181818181</v>
    <v>5.5613636363636365</v>
    <v t="s">std</v>
    <v>323.39800957435756</v>
    <v>6.925588598051946</v>
    <v t="s">min</v>
    <v>11</v>
    <v>0</v>
    <v t="s">25%</v>
    <v>444</v>
    <v>0.5</v>
    <v t="s">50%</v>
    <v>462.5</v>
    <v>2.2000000000000002</v>
    <v t="s">75%</v>
    <v>484.25</v>
    <v>12</v>
    <v t="s">max</v>
    <v>1311</v>
    <v>21</v>
  </a>
  <a r="6" c="6">
    <v t="s"/>
    <v t="s">project</v>
    <v t="s">employee</v>
    <v t="s">turnover</v>
    <v t="s">month</v>
    <v t="s">value</v>
    <v>0</v>
    <v t="s">A</v>
    <v>123</v>
    <v t="s">Y</v>
    <v t="s">Jan</v>
    <v>4</v>
    <v>1</v>
    <v t="s">A</v>
    <v>321</v>
    <v t="s">N</v>
    <v t="s">Jan</v>
    <v>3</v>
    <v>2</v>
    <v t="s">B</v>
    <v>519</v>
    <v t="s">Y</v>
    <v t="s">Jan</v>
    <v>20</v>
    <v>3</v>
    <v t="s">C</v>
    <v>717</v>
    <v t="s">N</v>
    <v t="s">Jan</v>
    <v>2.2000000000000002</v>
    <v>4</v>
    <v t="s">D</v>
    <v>915</v>
    <v t="s">Y</v>
    <v t="s">Jan</v>
    <v>0.7</v>
  </a>
  <a r="6" c="2">
    <v t="s"/>
    <v>1</v>
    <v t="s">project</v>
    <v t="s">A</v>
    <v t="s">employee</v>
    <v>321</v>
    <v t="s">turnover</v>
    <v t="s">N</v>
    <v t="s">month</v>
    <v t="s">Jan</v>
    <v t="s">value</v>
    <v>3</v>
  </a>
  <a r="12" c="3">
    <v t="s">project</v>
    <v t="s">month</v>
    <v t="s">value</v>
    <v t="s">A</v>
    <v t="s">Feb</v>
    <v>7.7</v>
    <v t="s">A</v>
    <v t="s">Jan</v>
    <v>146.69999999999999</v>
    <v t="s">A</v>
    <v t="s">Mar</v>
    <v>9.9</v>
    <v t="s">B</v>
    <v t="s">Feb</v>
    <v>33</v>
    <v t="s">B</v>
    <v t="s">Jan</v>
    <v>118.5</v>
    <v t="s">...</v>
    <v t="s">...</v>
    <v t="s">...</v>
    <v t="s">C</v>
    <v t="s">Jan</v>
    <v>24.3</v>
    <v t="s">C</v>
    <v t="s">Mar</v>
    <v>13.4</v>
    <v t="s">D</v>
    <v t="s">Feb</v>
    <v>0.9</v>
    <v t="s">D</v>
    <v t="s">Jan</v>
    <v>82.5</v>
    <v t="s">D</v>
    <v t="s">Mar</v>
    <v>4</v>
  </a>
  <a r="6" c="4">
    <v t="s">month</v>
    <v t="s">Feb</v>
    <v t="s">Jan</v>
    <v t="s">Mar</v>
    <v t="s">project</v>
    <v t="s"/>
    <v t="s"/>
    <v t="s"/>
    <v t="s">A</v>
    <v>7.7</v>
    <v>146.69999999999999</v>
    <v>9.9</v>
    <v t="s">B</v>
    <v>33</v>
    <v>118.5</v>
    <v>35.5</v>
    <v t="s">C</v>
    <v>13</v>
    <v>24.3</v>
    <v>13.4</v>
    <v t="s">D</v>
    <v>0.9</v>
    <v>82.5</v>
    <v>4</v>
  </a>
  <a r="6" c="4">
    <v t="s">month</v>
    <v t="s">Jan</v>
    <v t="s">Feb</v>
    <v t="s">Mar</v>
    <v t="s">project</v>
    <v t="s"/>
    <v t="s"/>
    <v t="s"/>
    <v t="s">A</v>
    <v>146.69999999999999</v>
    <v>7.7</v>
    <v>9.9</v>
    <v t="s">B</v>
    <v>118.5</v>
    <v>33</v>
    <v>35.5</v>
    <v t="s">C</v>
    <v>24.3</v>
    <v>13</v>
    <v>13.4</v>
    <v t="s">D</v>
    <v>82.5</v>
    <v>0.9</v>
    <v>4</v>
  </a>
  <a r="12" c="3">
    <v t="s"/>
    <v t="s">employee</v>
    <v t="s">turnover</v>
    <v>20</v>
    <v>35</v>
    <v t="s">Y</v>
    <v>21</v>
    <v>123</v>
    <v t="s">Y</v>
    <v>22</v>
    <v>321</v>
    <v t="s">Y</v>
    <v>23</v>
    <v>519</v>
    <v t="s">Y</v>
    <v>24</v>
    <v>717</v>
    <v t="s">Y</v>
    <v t="s">...</v>
    <v t="s">...</v>
    <v t="s">...</v>
    <v>75</v>
    <v>476</v>
    <v t="s">Y</v>
    <v>76</v>
    <v>477</v>
    <v t="s">Y</v>
    <v>77</v>
    <v>478</v>
    <v t="s">Y</v>
    <v>78</v>
    <v>479</v>
    <v t="s">Y</v>
    <v>79</v>
    <v>480</v>
    <v t="s">Y</v>
  </a>
  <a r="6" c="3">
    <v t="s"/>
    <v t="s">value</v>
    <v t="s">employee</v>
    <v t="s">project</v>
    <v t="s"/>
    <v t="s"/>
    <v t="s">A</v>
    <v>164.29999999999998</v>
    <v>29</v>
    <v t="s">B</v>
    <v>187</v>
    <v>32</v>
    <v t="s">C</v>
    <v>50.7</v>
    <v>14</v>
    <v t="s">D</v>
    <v>87.4</v>
    <v>13</v>
  </a>
  <a r="6" c="3">
    <v t="s"/>
    <v t="s">employee_count</v>
    <v t="s">conditional_value_sum</v>
    <v t="s">project</v>
    <v t="s"/>
    <v t="s"/>
    <v t="s">A</v>
    <v>29</v>
    <v>160.29999999999998</v>
    <v t="s">B</v>
    <v>32</v>
    <v>186</v>
    <v t="s">C</v>
    <v>14</v>
    <v>48.5</v>
    <v t="s">D</v>
    <v>13</v>
    <v>87.4</v>
  </a>
  <a r="6" c="4">
    <v t="s"/>
    <v t="s">value</v>
    <v t="s">employee</v>
    <v t="s">result</v>
    <v t="s">project</v>
    <v t="s"/>
    <v t="s"/>
    <v t="s"/>
    <v t="s">A</v>
    <v>164.29999999999998</v>
    <v>29</v>
    <v>5.6655172413793098</v>
    <v t="s">B</v>
    <v>187</v>
    <v>32</v>
    <v>5.84375</v>
    <v t="s">C</v>
    <v>50.7</v>
    <v>14</v>
    <v>3.6214285714285714</v>
    <v t="s">D</v>
    <v>87.4</v>
    <v>13</v>
    <v>6.7230769230769232</v>
  </a>
  <a r="13" c="4">
    <v t="s"/>
    <v t="s"/>
    <v t="s">value</v>
    <v t="s">employee</v>
    <v t="s">project</v>
    <v t="s">month</v>
    <v t="s"/>
    <v t="s"/>
    <v t="s">A</v>
    <v t="s">Jan</v>
    <v>146.69999999999999</v>
    <v>21</v>
    <v t="s">A</v>
    <v t="s">Feb</v>
    <v>7.7</v>
    <v>3</v>
    <v t="s">A</v>
    <v t="s">Mar</v>
    <v>9.9</v>
    <v>5</v>
    <v t="s">B</v>
    <v t="s">Jan</v>
    <v>118.5</v>
    <v>25</v>
    <v t="s">B</v>
    <v t="s">Feb</v>
    <v>33</v>
    <v>3</v>
    <v t="s">...</v>
    <v t="s">...</v>
    <v t="s">...</v>
    <v t="s">...</v>
    <v t="s">C</v>
    <v t="s">Feb</v>
    <v>13</v>
    <v>1</v>
    <v t="s">C</v>
    <v t="s">Mar</v>
    <v>13.4</v>
    <v>2</v>
    <v t="s">D</v>
    <v t="s">Jan</v>
    <v>82.5</v>
    <v>11</v>
    <v t="s">D</v>
    <v t="s">Feb</v>
    <v>0.9</v>
    <v>1</v>
    <v t="s">D</v>
    <v t="s">Mar</v>
    <v>4</v>
    <v>1</v>
  </a>
  <a r="7" c="10">
    <v t="s"/>
    <v t="s">employee</v>
    <v t="s">employee</v>
    <v t="s">employee</v>
    <v t="s">result</v>
    <v t="s">result</v>
    <v t="s">result</v>
    <v t="s">value</v>
    <v t="s">value</v>
    <v t="s">value</v>
    <v t="s">month</v>
    <v t="s">Jan</v>
    <v t="s">Feb</v>
    <v t="s">Mar</v>
    <v t="s">Jan</v>
    <v t="s">Feb</v>
    <v t="s">Mar</v>
    <v t="s">Jan</v>
    <v t="s">Feb</v>
    <v t="s">Mar</v>
    <v t="s">project</v>
    <v t="s"/>
    <v t="s"/>
    <v t="s"/>
    <v t="s"/>
    <v t="s"/>
    <v t="s"/>
    <v t="s"/>
    <v t="s"/>
    <v t="s"/>
    <v t="s">A</v>
    <v>21</v>
    <v>3</v>
    <v>5</v>
    <v>6.9857142857142849</v>
    <v>2.5666666666666669</v>
    <v>1.98</v>
    <v>146.69999999999999</v>
    <v>7.7</v>
    <v>9.9</v>
    <v t="s">B</v>
    <v>25</v>
    <v>3</v>
    <v>4</v>
    <v>4.74</v>
    <v>11</v>
    <v>8.875</v>
    <v>118.5</v>
    <v>33</v>
    <v>35.5</v>
    <v t="s">C</v>
    <v>11</v>
    <v>1</v>
    <v>2</v>
    <v>2.209090909090909</v>
    <v>13</v>
    <v>6.7</v>
    <v>24.3</v>
    <v>13</v>
    <v>13.4</v>
    <v t="s">D</v>
    <v>11</v>
    <v>1</v>
    <v>1</v>
    <v>7.5</v>
    <v>0.9</v>
    <v>4</v>
    <v>82.5</v>
    <v>0.9</v>
    <v>4</v>
  </a>
  <a r="6" c="10">
    <v t="s"/>
    <v t="s">Jan_value</v>
    <v t="s">Jan_employee</v>
    <v t="s">Jan_result</v>
    <v t="s">Feb_value</v>
    <v t="s">Feb_employee</v>
    <v t="s">Feb_result</v>
    <v t="s">Mar_value</v>
    <v t="s">Mar_employee</v>
    <v t="s">Mar_result</v>
    <v t="s">project</v>
    <v t="s"/>
    <v t="s"/>
    <v t="s"/>
    <v t="s"/>
    <v t="s"/>
    <v t="s"/>
    <v t="s"/>
    <v t="s"/>
    <v t="s"/>
    <v t="s">A</v>
    <v>146.69999999999999</v>
    <v>21</v>
    <v>6.9857142857142849</v>
    <v>7.7</v>
    <v>3</v>
    <v>2.5666666666666669</v>
    <v>9.9</v>
    <v>5</v>
    <v>1.98</v>
    <v t="s">B</v>
    <v>118.5</v>
    <v>25</v>
    <v>4.74</v>
    <v>33</v>
    <v>3</v>
    <v>11</v>
    <v>35.5</v>
    <v>4</v>
    <v>8.875</v>
    <v t="s">C</v>
    <v>24.3</v>
    <v>11</v>
    <v>2.209090909090909</v>
    <v>13</v>
    <v>1</v>
    <v>13</v>
    <v>13.4</v>
    <v>2</v>
    <v>6.7</v>
    <v t="s">D</v>
    <v>82.5</v>
    <v>11</v>
    <v>7.5</v>
    <v>0.9</v>
    <v>1</v>
    <v>0.9</v>
    <v>4</v>
    <v>1</v>
    <v>4</v>
  </a>
  <a r="5" c="11">
    <v t="s"/>
    <v t="s">project</v>
    <v t="s">Jan_value</v>
    <v t="s">Jan_employee</v>
    <v t="s">Jan_result</v>
    <v t="s">Feb_value</v>
    <v t="s">Feb_employee</v>
    <v t="s">Feb_result</v>
    <v t="s">Mar_value</v>
    <v t="s">Mar_employee</v>
    <v t="s">Mar_result</v>
    <v>0</v>
    <v t="s">A</v>
    <v>146.69999999999999</v>
    <v>21</v>
    <v>6.9857142857142849</v>
    <v>7.7</v>
    <v>3</v>
    <v>2.5666666666666669</v>
    <v>9.9</v>
    <v>5</v>
    <v>1.98</v>
    <v>1</v>
    <v t="s">B</v>
    <v>118.5</v>
    <v>25</v>
    <v>4.74</v>
    <v>33</v>
    <v>3</v>
    <v>11</v>
    <v>35.5</v>
    <v>4</v>
    <v>8.875</v>
    <v>2</v>
    <v t="s">C</v>
    <v>24.3</v>
    <v>11</v>
    <v>2.209090909090909</v>
    <v>13</v>
    <v>1</v>
    <v>13</v>
    <v>13.4</v>
    <v>2</v>
    <v>6.7</v>
    <v>3</v>
    <v t="s">D</v>
    <v>82.5</v>
    <v>11</v>
    <v>7.5</v>
    <v>0.9</v>
    <v>1</v>
    <v>0.9</v>
    <v>4</v>
    <v>1</v>
    <v>4</v>
  </a>
  <a r="2">
    <v>1989</v>
    <v>490</v>
  </a>
  <a r="2">
    <v>564</v>
    <v>489</v>
  </a>
</arrayData>
</file>

<file path=xl/richData/rdrichvalue.xml><?xml version="1.0" encoding="utf-8"?>
<rvData xmlns="http://schemas.microsoft.com/office/spreadsheetml/2017/richdata" count="62">
  <rv s="0">
    <fb>0</fb>
    <v>0</v>
  </rv>
  <rv s="1">
    <fb>0</fb>
    <v>&lt;class 'NoneType'&gt;</v>
    <v>NoneType</v>
    <v>None</v>
    <v>0</v>
    <v>1</v>
  </rv>
  <rv s="2">
    <fb t="s">2.2.2</fb>
    <v>&lt;class 'str'&gt;</v>
    <v>str</v>
    <v>2.2.2</v>
    <v>2.2.2</v>
    <v>1</v>
  </rv>
  <rv s="3">
    <v>0</v>
  </rv>
  <rv s="4">
    <v>list</v>
    <v>3</v>
    <v>3</v>
  </rv>
  <rv s="1">
    <v>&lt;class 'list'&gt;</v>
    <v>list</v>
    <v>['Jan', 'Feb', 'Mar']</v>
    <v>4</v>
    <v>1</v>
  </rv>
  <rv s="2">
    <fb t="s">0.13.2</fb>
    <v>&lt;class 'str'&gt;</v>
    <v>str</v>
    <v>0.13.2</v>
    <v>0.13.2</v>
    <v>1</v>
  </rv>
  <rv s="3">
    <v>1</v>
  </rv>
  <rv s="4">
    <v>DataFrame</v>
    <v>5</v>
    <v>7</v>
  </rv>
  <rv s="1">
    <v>&lt;class 'pandas.core.frame.DataFrame'&gt;</v>
    <v>DataFrame</v>
    <v xml:space="preserve">   project  employee turnover month  value
0        A       123        Y   Jan    4.0
1        A       321        N   Jan    3.0
2        B       519        Y   Jan   20.0
3        C       717        N   Jan    2.2
4        D       915        Y   Jan  ...</v>
    <v>8</v>
    <v>1</v>
  </rv>
  <rv s="3">
    <v>2</v>
  </rv>
  <rv s="4">
    <v>DataFrame</v>
    <v>7</v>
    <v>10</v>
  </rv>
  <rv s="1">
    <v>&lt;class 'pandas.core.frame.DataFrame'&gt;</v>
    <v>DataFrame</v>
    <v xml:space="preserve">          employee      value
count    88.000000  88.000000
mean    475.443182   5.561364
std     323.398010   6.925589
min      11.000000   0.000000
25%     444.000000   0.500000
50%     462.500000   2.200000
75%     484.250000  12.000000
max    1311....</v>
    <v>11</v>
    <v>1</v>
  </rv>
  <rv s="3">
    <v>3</v>
  </rv>
  <rv s="4">
    <v>DataFrame</v>
    <v>9</v>
    <v>13</v>
  </rv>
  <rv s="1">
    <v>&lt;class 'pandas.core.frame.DataFrame'&gt;</v>
    <v>DataFrame</v>
    <v xml:space="preserve">  project  employee turnover month  value
0       A       123        Y   Jan    4.0
1       A       321        N   Jan    3.0
2       B       519        Y   Jan   20.0
3       C       717        N   Jan    2.2
4       D       915        Y   Jan    0.7</v>
    <v>14</v>
    <v>1</v>
  </rv>
  <rv s="3">
    <v>4</v>
  </rv>
  <rv s="4">
    <v>Series</v>
    <v>11</v>
    <v>16</v>
  </rv>
  <rv s="1">
    <v>&lt;class 'pandas.core.series.Series'&gt;</v>
    <v>Series</v>
    <v>project       A
employee    321
turnover      N
month       Jan
value       3.0
Name: 1, dtype: object</v>
    <v>17</v>
    <v>1</v>
  </rv>
  <rv s="5">
    <fb>41839</fb>
    <v>&lt;class 'numpy.int64'&gt;</v>
    <v>int64</v>
    <v>41839</v>
    <v>41839</v>
    <v>1</v>
  </rv>
  <rv s="3">
    <v>5</v>
  </rv>
  <rv s="4">
    <v>Series</v>
    <v>13</v>
    <v>20</v>
  </rv>
  <rv s="1">
    <v>&lt;class 'pandas.core.series.Series'&gt;</v>
    <v>Series</v>
    <v>project  month
A        Feb        7.7
         Jan      146.7
         Mar        9.9
B        Feb       33.0
         Jan      118.5
         Mar       35.5
C        Feb       13.0
         Jan       24.3
         Mar       13.4
D        Feb        0...</v>
    <v>21</v>
    <v>1</v>
  </rv>
  <rv s="3">
    <v>6</v>
  </rv>
  <rv s="4">
    <v>DataFrame</v>
    <v>15</v>
    <v>23</v>
  </rv>
  <rv s="1">
    <v>&lt;class 'pandas.core.frame.DataFrame'&gt;</v>
    <v>DataFrame</v>
    <v>month     Feb    Jan   Mar
project                   
A         7.7  146.7   9.9
B        33.0  118.5  35.5
C        13.0   24.3  13.4
D         0.9   82.5   4.0</v>
    <v>24</v>
    <v>1</v>
  </rv>
  <rv s="3">
    <v>7</v>
  </rv>
  <rv s="4">
    <v>DataFrame</v>
    <v>15</v>
    <v>26</v>
  </rv>
  <rv s="1">
    <v>&lt;class 'pandas.core.frame.DataFrame'&gt;</v>
    <v>DataFrame</v>
    <v>month      Jan   Feb   Mar
project                   
A        146.7   7.7   9.9
B        118.5  33.0  35.5
C         24.3  13.0  13.4
D         82.5   0.9   4.0</v>
    <v>27</v>
    <v>1</v>
  </rv>
  <rv s="3">
    <v>8</v>
  </rv>
  <rv s="4">
    <v>DataFrame</v>
    <v>17</v>
    <v>29</v>
  </rv>
  <rv s="1">
    <v>&lt;class 'pandas.core.frame.DataFrame'&gt;</v>
    <v>DataFrame</v>
    <v xml:space="preserve">    employee turnover
20        35        Y
21       123        Y
22       321        Y
23       519        Y
24       717        Y
25       915        Y
26      1113        Y
27      1311        Y
28        11        Y
29      1200        Y
30       1...</v>
    <v>30</v>
    <v>1</v>
  </rv>
  <rv s="3">
    <v>9</v>
  </rv>
  <rv s="4">
    <v>DataFrame</v>
    <v>19</v>
    <v>32</v>
  </rv>
  <rv s="1">
    <v>&lt;class 'pandas.core.frame.DataFrame'&gt;</v>
    <v>DataFrame</v>
    <v xml:space="preserve">         value  employee
project                 
A        164.3        29
B        187.0        32
C         50.7        14
D         87.4        13</v>
    <v>33</v>
    <v>1</v>
  </rv>
  <rv s="3">
    <v>10</v>
  </rv>
  <rv s="4">
    <v>DataFrame</v>
    <v>19</v>
    <v>35</v>
  </rv>
  <rv s="1">
    <v>&lt;class 'pandas.core.frame.DataFrame'&gt;</v>
    <v>DataFrame</v>
    <v xml:space="preserve">         employee_count  conditional_value_sum
project                                       
A                    29                  160.3
B                    32                  186.0
C                    14                   48.5
D                ...</v>
    <v>36</v>
    <v>1</v>
  </rv>
  <rv s="3">
    <v>11</v>
  </rv>
  <rv s="4">
    <v>DataFrame</v>
    <v>15</v>
    <v>38</v>
  </rv>
  <rv s="1">
    <v>&lt;class 'pandas.core.frame.DataFrame'&gt;</v>
    <v>DataFrame</v>
    <v xml:space="preserve">         value  employee    result
project                           
A        164.3        29  5.665517
B        187.0        32  5.843750
C         50.7        14  3.621429
D         87.4        13  6.723077</v>
    <v>39</v>
    <v>1</v>
  </rv>
  <rv s="3">
    <v>12</v>
  </rv>
  <rv s="4">
    <v>DataFrame</v>
    <v>21</v>
    <v>41</v>
  </rv>
  <rv s="1">
    <v>&lt;class 'pandas.core.frame.DataFrame'&gt;</v>
    <v>DataFrame</v>
    <v xml:space="preserve">               value  employee
project month                 
A       Jan    146.7        21
        Feb      7.7         3
        Mar      9.9         5
B       Jan    118.5        25
        Feb     33.0         3
        Mar     35.5         4
C   ...</v>
    <v>42</v>
    <v>1</v>
  </rv>
  <rv s="3">
    <v>13</v>
  </rv>
  <rv s="4">
    <v>DataFrame</v>
    <v>23</v>
    <v>44</v>
  </rv>
  <rv s="1">
    <v>&lt;class 'pandas.core.frame.DataFrame'&gt;</v>
    <v>DataFrame</v>
    <v xml:space="preserve">        employee              result                    value            
month        Jan  Feb  Mar       Jan        Feb    Mar    Jan   Feb   Mar
project                                                                  
A           21.0  3.0  5.0  6....</v>
    <v>45</v>
    <v>1</v>
  </rv>
  <rv s="3">
    <v>14</v>
  </rv>
  <rv s="4">
    <v>DataFrame</v>
    <v>23</v>
    <v>47</v>
  </rv>
  <rv s="1">
    <v>&lt;class 'pandas.core.frame.DataFrame'&gt;</v>
    <v>DataFrame</v>
    <v xml:space="preserve">         Jan_value  Jan_employee  Jan_result  Feb_value  Feb_employee  \
project                                                                 
A            146.7          21.0    6.985714        7.7           3.0   
B            118.5          25.0 ...</v>
    <v>48</v>
    <v>1</v>
  </rv>
  <rv s="3">
    <v>15</v>
  </rv>
  <rv s="4">
    <v>DataFrame</v>
    <v>25</v>
    <v>50</v>
  </rv>
  <rv s="1">
    <v>&lt;class 'pandas.core.frame.DataFrame'&gt;</v>
    <v>DataFrame</v>
    <v xml:space="preserve">  project  Jan_value  Jan_employee  Jan_result  Feb_value  Feb_employee  \
0       A      146.7          21.0    6.985714        7.7           3.0   
1       B      118.5          25.0    4.740000       33.0           3.0   
2       C       24.3       ...</v>
    <v>51</v>
    <v>1</v>
  </rv>
  <rv s="6">
    <v>0</v>
    <v>9</v>
  </rv>
  <rv s="3">
    <v>16</v>
  </rv>
  <rv s="7">
    <v>Image</v>
    <v>26</v>
    <v>53</v>
    <v>54</v>
  </rv>
  <rv s="1">
    <v>&lt;class 'PIL.PngImagePlugin.PngImageFile'&gt;</v>
    <v>PngImageFile</v>
    <v>&lt;PIL.PngImagePlugin.PngImageFile image mode=RGBA size=1989x490 at 0x7F4DDEF8ECC0&gt;</v>
    <v>55</v>
    <v>1</v>
  </rv>
  <rv s="6">
    <v>1</v>
    <v>9</v>
  </rv>
  <rv s="3">
    <v>17</v>
  </rv>
  <rv s="7">
    <v>Image</v>
    <v>26</v>
    <v>57</v>
    <v>58</v>
  </rv>
  <rv s="1">
    <v>&lt;class 'PIL.PngImagePlugin.PngImageFile'&gt;</v>
    <v>PngImageFile</v>
    <v>&lt;PIL.PngImagePlugin.PngImageFile image mode=RGBA size=564x489 at 0x7F4DDE750740&gt;</v>
    <v>59</v>
    <v>1</v>
  </rv>
  <rv s="6">
    <v>1</v>
    <v>3</v>
  </rv>
</rvData>
</file>

<file path=xl/richData/rdrichvaluestructure.xml><?xml version="1.0" encoding="utf-8"?>
<rvStructures xmlns="http://schemas.microsoft.com/office/spreadsheetml/2017/richdata" count="8">
  <s t="_formattednumber">
    <k n="_Format" t="spb"/>
  </s>
  <s t="_python">
    <k n="Python_type" t="s"/>
    <k n="Python_typeName" t="s"/>
    <k n="Python_str" t="s"/>
    <k n="preview" t="r"/>
    <k n="_Provider" t="spb"/>
  </s>
  <s t="_python">
    <k n="Python_type" t="s"/>
    <k n="Python_typeName" t="s"/>
    <k n="Python_str" t="s"/>
    <k n="basicValue" t="s"/>
    <k n="_Provider" t="spb"/>
  </s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basicValue" t="i"/>
    <k n="_Provider" t="spb"/>
  </s>
  <s t="_localImage">
    <k n="_rvRel:LocalImageIdentifier" t="i"/>
    <k n="CalcOrigin" t="i"/>
  </s>
  <s t="_entity">
    <k n="_DisplayString" t="s"/>
    <k n="_Format" t="spb"/>
    <k n="image" t="r"/>
    <k n="size" t="r"/>
  </s>
</rvStructures>
</file>

<file path=xl/richData/rdsupportingpropertybag.xml><?xml version="1.0" encoding="utf-8"?>
<supportingPropertyBags xmlns="http://schemas.microsoft.com/office/spreadsheetml/2017/richdata2">
  <spbData count="27">
    <spb s="0">
      <v>1</v>
    </spb>
    <spb s="1">
      <v>https://www.anaconda.com/excel</v>
      <v>https://res.cdn.office.net/officepysvc/prod-service/anacondalogo.png</v>
      <v>Python provided by Anaconda</v>
    </spb>
    <spb s="2">
      <v>3</v>
      <v>1</v>
      <v>list</v>
      <v>arrayPreview</v>
    </spb>
    <spb s="3">
      <v>2</v>
    </spb>
    <spb s="4">
      <v>88</v>
      <v>5</v>
      <v>DataFrame</v>
      <v>arrayPreview</v>
      <v>1</v>
    </spb>
    <spb s="3">
      <v>4</v>
    </spb>
    <spb s="4">
      <v>8</v>
      <v>2</v>
      <v>DataFrame</v>
      <v>arrayPreview</v>
      <v>1</v>
    </spb>
    <spb s="3">
      <v>6</v>
    </spb>
    <spb s="4">
      <v>5</v>
      <v>5</v>
      <v>DataFrame</v>
      <v>arrayPreview</v>
      <v>1</v>
    </spb>
    <spb s="3">
      <v>8</v>
    </spb>
    <spb s="4">
      <v>5</v>
      <v>1</v>
      <v>Series</v>
      <v>arrayPreview</v>
      <v>1</v>
    </spb>
    <spb s="3">
      <v>10</v>
    </spb>
    <spb s="4">
      <v>12</v>
      <v>1</v>
      <v>Series</v>
      <v>arrayPreview</v>
      <v>1</v>
    </spb>
    <spb s="3">
      <v>12</v>
    </spb>
    <spb s="4">
      <v>4</v>
      <v>3</v>
      <v>DataFrame</v>
      <v>arrayPreview</v>
      <v>1</v>
    </spb>
    <spb s="3">
      <v>14</v>
    </spb>
    <spb s="4">
      <v>60</v>
      <v>2</v>
      <v>DataFrame</v>
      <v>arrayPreview</v>
      <v>1</v>
    </spb>
    <spb s="3">
      <v>16</v>
    </spb>
    <spb s="4">
      <v>4</v>
      <v>2</v>
      <v>DataFrame</v>
      <v>arrayPreview</v>
      <v>1</v>
    </spb>
    <spb s="3">
      <v>18</v>
    </spb>
    <spb s="4">
      <v>12</v>
      <v>2</v>
      <v>DataFrame</v>
      <v>arrayPreview</v>
      <v>1</v>
    </spb>
    <spb s="3">
      <v>20</v>
    </spb>
    <spb s="4">
      <v>4</v>
      <v>9</v>
      <v>DataFrame</v>
      <v>arrayPreview</v>
      <v>1</v>
    </spb>
    <spb s="3">
      <v>22</v>
    </spb>
    <spb s="4">
      <v>4</v>
      <v>10</v>
      <v>DataFrame</v>
      <v>arrayPreview</v>
      <v>1</v>
    </spb>
    <spb s="3">
      <v>24</v>
    </spb>
    <spb s="5">
      <v>2</v>
    </spb>
  </spbData>
</supportingPropertyBags>
</file>

<file path=xl/richData/rdsupportingpropertybagstructure.xml><?xml version="1.0" encoding="utf-8"?>
<spbStructures xmlns="http://schemas.microsoft.com/office/spreadsheetml/2017/richdata2" count="6">
  <s>
    <k n="_Self" t="i"/>
  </s>
  <s>
    <k n="link" t="s"/>
    <k n="logo" t="s"/>
    <k n="name" t="s"/>
  </s>
  <s>
    <k n="drw" t="i"/>
    <k n="dcol" t="i"/>
    <k n="name" t="s"/>
    <k n="array" t="s"/>
  </s>
  <s>
    <k n="ArrayCardInfo" t="spb"/>
  </s>
  <s>
    <k n="drw" t="i"/>
    <k n="dcol" t="i"/>
    <k n="name" t="s"/>
    <k n="array" t="s"/>
    <k n="headers" t="b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825B5D-E7BE-4CB7-BDF4-01B503815489}" name="Table1" displayName="Table1" ref="A2:E90" totalsRowShown="0">
  <autoFilter ref="A2:E90" xr:uid="{9D825B5D-E7BE-4CB7-BDF4-01B503815489}"/>
  <tableColumns count="5">
    <tableColumn id="1" xr3:uid="{DB9A541D-E2A1-4DD1-884E-4077A7E974BD}" name="project"/>
    <tableColumn id="2" xr3:uid="{0300E260-293F-4E4D-8903-8DF551D191A6}" name="employee"/>
    <tableColumn id="3" xr3:uid="{D5F77E47-6530-4C14-81AB-85A3E7A8DDBD}" name="turnover"/>
    <tableColumn id="4" xr3:uid="{E271F259-5658-4B3A-AC7A-13EE4DA1730B}" name="month"/>
    <tableColumn id="5" xr3:uid="{14B121CF-0F85-451B-9473-D8AB44265879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035C7C-E6BF-4226-B11B-B796D4A6BFE7}" name="Table2" displayName="Table2" ref="A1:C7" totalsRowShown="0">
  <autoFilter ref="A1:C7" xr:uid="{74035C7C-E6BF-4226-B11B-B796D4A6BFE7}"/>
  <tableColumns count="3">
    <tableColumn id="1" xr3:uid="{3DA9B487-25ED-491B-B396-5E9D048703FB}" name="Letter"/>
    <tableColumn id="2" xr3:uid="{E35814C9-CBD2-40D7-BE5C-D4C3C61B3C5B}" name="number "/>
    <tableColumn id="3" xr3:uid="{086841B5-B7E2-4A94-B7CF-6122361E52D3}" name="da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99FF4-B645-41E1-8986-5B85B0EFEE3C}">
  <sheetPr codeName="Sheet1"/>
  <dimension ref="B1:B10"/>
  <sheetViews>
    <sheetView workbookViewId="0">
      <selection activeCell="J7" sqref="J7"/>
    </sheetView>
  </sheetViews>
  <sheetFormatPr defaultRowHeight="15" x14ac:dyDescent="0.25"/>
  <cols>
    <col min="2" max="2" width="10.85546875" customWidth="1"/>
  </cols>
  <sheetData>
    <row r="1" spans="2:2" x14ac:dyDescent="0.25">
      <c r="B1" t="s">
        <v>18</v>
      </c>
    </row>
    <row r="2" spans="2:2" x14ac:dyDescent="0.25">
      <c r="B2" cm="1" vm="1">
        <f t="array" ref="B2">_xlfn._xlws.PY(0,1)</f>
        <v>0</v>
      </c>
    </row>
    <row r="3" spans="2:2" x14ac:dyDescent="0.25">
      <c r="B3" t="str" cm="1" vm="2">
        <f t="array" ref="B3">_xlfn._xlws.PY(1,1)</f>
        <v>2.2.2</v>
      </c>
    </row>
    <row r="5" spans="2:2" x14ac:dyDescent="0.25">
      <c r="B5" t="e" cm="1" vm="3">
        <f t="array" ref="B5">_xlfn._xlws.PY(2,1)</f>
        <v>#VALUE!</v>
      </c>
    </row>
    <row r="7" spans="2:2" x14ac:dyDescent="0.25">
      <c r="B7" cm="1" vm="1">
        <f t="array" ref="B7">_xlfn._xlws.PY(3,1)</f>
        <v>0</v>
      </c>
    </row>
    <row r="9" spans="2:2" x14ac:dyDescent="0.25">
      <c r="B9" cm="1" vm="1">
        <f t="array" ref="B9">_xlfn._xlws.PY(4,1)</f>
        <v>0</v>
      </c>
    </row>
    <row r="10" spans="2:2" x14ac:dyDescent="0.25">
      <c r="B10" t="str" cm="1" vm="4">
        <f t="array" ref="B10">_xlfn._xlws.PY(5,1)</f>
        <v>0.13.2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2B9ED-B00E-4838-B5A0-6D4B51DF7043}">
  <sheetPr codeName="Sheet7">
    <tabColor rgb="FFC00000"/>
  </sheetPr>
  <dimension ref="A1:L9"/>
  <sheetViews>
    <sheetView workbookViewId="0">
      <selection activeCell="H18" sqref="H18"/>
    </sheetView>
  </sheetViews>
  <sheetFormatPr defaultRowHeight="15" x14ac:dyDescent="0.25"/>
  <cols>
    <col min="1" max="1" width="13.42578125" bestFit="1" customWidth="1"/>
    <col min="2" max="2" width="18.5703125" bestFit="1" customWidth="1"/>
    <col min="3" max="3" width="12.5703125" bestFit="1" customWidth="1"/>
    <col min="4" max="4" width="18.5703125" bestFit="1" customWidth="1"/>
    <col min="5" max="5" width="12.5703125" bestFit="1" customWidth="1"/>
    <col min="6" max="6" width="18.5703125" bestFit="1" customWidth="1"/>
    <col min="7" max="7" width="12.5703125" bestFit="1" customWidth="1"/>
    <col min="8" max="8" width="23.5703125" bestFit="1" customWidth="1"/>
    <col min="9" max="9" width="17.7109375" bestFit="1" customWidth="1"/>
  </cols>
  <sheetData>
    <row r="1" spans="1:12" x14ac:dyDescent="0.25">
      <c r="A1" s="6" t="s">
        <v>2</v>
      </c>
      <c r="B1" t="s">
        <v>41</v>
      </c>
      <c r="I1" t="s">
        <v>50</v>
      </c>
      <c r="L1" t="s">
        <v>54</v>
      </c>
    </row>
    <row r="2" spans="1:12" x14ac:dyDescent="0.25">
      <c r="I2" t="s">
        <v>51</v>
      </c>
    </row>
    <row r="3" spans="1:12" x14ac:dyDescent="0.25">
      <c r="A3" s="17"/>
      <c r="B3" s="17" t="s">
        <v>40</v>
      </c>
      <c r="C3" s="17"/>
      <c r="D3" s="17"/>
      <c r="E3" s="17"/>
      <c r="F3" s="17"/>
      <c r="G3" s="17"/>
      <c r="I3" t="s">
        <v>49</v>
      </c>
    </row>
    <row r="4" spans="1:12" x14ac:dyDescent="0.25">
      <c r="A4" s="17"/>
      <c r="B4" s="17" t="s">
        <v>10</v>
      </c>
      <c r="C4" s="17"/>
      <c r="D4" s="17" t="s">
        <v>31</v>
      </c>
      <c r="E4" s="17"/>
      <c r="F4" s="17" t="s">
        <v>32</v>
      </c>
      <c r="G4" s="17"/>
      <c r="I4" t="s">
        <v>53</v>
      </c>
    </row>
    <row r="5" spans="1:12" x14ac:dyDescent="0.25">
      <c r="A5" s="17" t="s">
        <v>37</v>
      </c>
      <c r="B5" s="17" t="s">
        <v>38</v>
      </c>
      <c r="C5" s="17" t="s">
        <v>39</v>
      </c>
      <c r="D5" s="17" t="s">
        <v>38</v>
      </c>
      <c r="E5" s="17" t="s">
        <v>39</v>
      </c>
      <c r="F5" s="17" t="s">
        <v>38</v>
      </c>
      <c r="G5" s="17" t="s">
        <v>39</v>
      </c>
    </row>
    <row r="6" spans="1:12" x14ac:dyDescent="0.25">
      <c r="A6" s="7" t="s">
        <v>4</v>
      </c>
      <c r="B6">
        <v>21</v>
      </c>
      <c r="C6">
        <v>146.70000000000002</v>
      </c>
      <c r="D6" s="8">
        <v>3</v>
      </c>
      <c r="E6" s="8">
        <v>7.7</v>
      </c>
      <c r="F6">
        <v>5</v>
      </c>
      <c r="G6">
        <v>9.9</v>
      </c>
      <c r="I6">
        <f>GETPIVOTDATA("Sum of value",$A$3,"project","A","month","Feb")/GETPIVOTDATA("Count of employee",$A$3,"project","A","month","Feb")</f>
        <v>2.5666666666666669</v>
      </c>
    </row>
    <row r="7" spans="1:12" x14ac:dyDescent="0.25">
      <c r="A7" s="7" t="s">
        <v>5</v>
      </c>
      <c r="B7">
        <v>25</v>
      </c>
      <c r="C7">
        <v>118.50000000000003</v>
      </c>
      <c r="D7">
        <v>3</v>
      </c>
      <c r="E7">
        <v>33</v>
      </c>
      <c r="F7">
        <v>4</v>
      </c>
      <c r="G7">
        <v>35.5</v>
      </c>
    </row>
    <row r="8" spans="1:12" x14ac:dyDescent="0.25">
      <c r="A8" s="7" t="s">
        <v>6</v>
      </c>
      <c r="B8">
        <v>11</v>
      </c>
      <c r="C8">
        <v>24.3</v>
      </c>
      <c r="D8">
        <v>1</v>
      </c>
      <c r="E8">
        <v>13</v>
      </c>
      <c r="F8">
        <v>2</v>
      </c>
      <c r="G8">
        <v>13.4</v>
      </c>
    </row>
    <row r="9" spans="1:12" x14ac:dyDescent="0.25">
      <c r="A9" s="7" t="s">
        <v>7</v>
      </c>
      <c r="B9">
        <v>11</v>
      </c>
      <c r="C9">
        <v>82.5</v>
      </c>
      <c r="D9">
        <v>1</v>
      </c>
      <c r="E9">
        <v>0.9</v>
      </c>
      <c r="F9">
        <v>1</v>
      </c>
      <c r="G9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3BAC3-5FAF-43DC-9535-78B1C682EB3E}">
  <sheetPr codeName="Sheet2">
    <tabColor theme="6" tint="0.39997558519241921"/>
  </sheetPr>
  <dimension ref="A2:S90"/>
  <sheetViews>
    <sheetView tabSelected="1" workbookViewId="0">
      <pane ySplit="2" topLeftCell="A3" activePane="bottomLeft" state="frozen"/>
      <selection pane="bottomLeft" activeCell="I13" sqref="I13"/>
    </sheetView>
  </sheetViews>
  <sheetFormatPr defaultRowHeight="15" x14ac:dyDescent="0.25"/>
  <cols>
    <col min="2" max="2" width="13" customWidth="1"/>
    <col min="3" max="3" width="11.140625" customWidth="1"/>
    <col min="12" max="12" width="11.42578125" bestFit="1" customWidth="1"/>
    <col min="14" max="14" width="11.42578125" bestFit="1" customWidth="1"/>
  </cols>
  <sheetData>
    <row r="2" spans="1:19" x14ac:dyDescent="0.25">
      <c r="A2" t="s">
        <v>0</v>
      </c>
      <c r="B2" t="s">
        <v>1</v>
      </c>
      <c r="C2" t="s">
        <v>2</v>
      </c>
      <c r="D2" t="s">
        <v>3</v>
      </c>
      <c r="E2" t="s">
        <v>15</v>
      </c>
    </row>
    <row r="3" spans="1:19" x14ac:dyDescent="0.25">
      <c r="A3" t="s">
        <v>4</v>
      </c>
      <c r="B3">
        <v>123</v>
      </c>
      <c r="C3" t="s">
        <v>8</v>
      </c>
      <c r="D3" t="s">
        <v>10</v>
      </c>
      <c r="E3">
        <v>4</v>
      </c>
      <c r="L3" s="1" t="s">
        <v>11</v>
      </c>
      <c r="M3" s="1"/>
      <c r="N3" s="1"/>
    </row>
    <row r="4" spans="1:19" x14ac:dyDescent="0.25">
      <c r="A4" t="s">
        <v>4</v>
      </c>
      <c r="B4">
        <v>321</v>
      </c>
      <c r="C4" t="s">
        <v>9</v>
      </c>
      <c r="D4" t="s">
        <v>10</v>
      </c>
      <c r="E4">
        <v>3</v>
      </c>
      <c r="L4" t="e" cm="1" vm="5">
        <f t="array" ref="L4">_xlfn._xlws.PY(6,1,Table1[#All])</f>
        <v>#VALUE!</v>
      </c>
    </row>
    <row r="5" spans="1:19" x14ac:dyDescent="0.25">
      <c r="A5" t="s">
        <v>5</v>
      </c>
      <c r="B5">
        <v>519</v>
      </c>
      <c r="C5" t="s">
        <v>8</v>
      </c>
      <c r="D5" t="s">
        <v>10</v>
      </c>
      <c r="E5">
        <v>20</v>
      </c>
      <c r="L5" s="1" t="s">
        <v>12</v>
      </c>
      <c r="M5" s="1"/>
      <c r="N5" s="1"/>
      <c r="O5" s="1"/>
    </row>
    <row r="6" spans="1:19" x14ac:dyDescent="0.25">
      <c r="A6" t="s">
        <v>6</v>
      </c>
      <c r="B6">
        <v>717</v>
      </c>
      <c r="C6" t="s">
        <v>9</v>
      </c>
      <c r="D6" t="s">
        <v>10</v>
      </c>
      <c r="E6">
        <v>2.2000000000000002</v>
      </c>
      <c r="L6" t="e" cm="1" vm="6">
        <f t="array" ref="L6">_xlfn._xlws.PY(7,1)</f>
        <v>#VALUE!</v>
      </c>
      <c r="M6" t="str" cm="1">
        <f t="array" ref="M6:O14">_FV(L6,"arrayPreview")</f>
        <v/>
      </c>
      <c r="N6" t="str">
        <v>employee</v>
      </c>
      <c r="O6" t="str">
        <v>value</v>
      </c>
    </row>
    <row r="7" spans="1:19" x14ac:dyDescent="0.25">
      <c r="A7" t="s">
        <v>7</v>
      </c>
      <c r="B7">
        <v>915</v>
      </c>
      <c r="C7" t="s">
        <v>8</v>
      </c>
      <c r="D7" t="s">
        <v>10</v>
      </c>
      <c r="E7">
        <v>0.7</v>
      </c>
      <c r="M7" t="str">
        <v>count</v>
      </c>
      <c r="N7">
        <v>88</v>
      </c>
      <c r="O7">
        <v>88</v>
      </c>
    </row>
    <row r="8" spans="1:19" x14ac:dyDescent="0.25">
      <c r="A8" t="s">
        <v>5</v>
      </c>
      <c r="B8">
        <v>1113</v>
      </c>
      <c r="C8" t="s">
        <v>8</v>
      </c>
      <c r="D8" t="s">
        <v>10</v>
      </c>
      <c r="E8">
        <v>6</v>
      </c>
      <c r="M8" t="str">
        <v>mean</v>
      </c>
      <c r="N8">
        <v>475.44318181818181</v>
      </c>
      <c r="O8">
        <v>5.5613636363636365</v>
      </c>
    </row>
    <row r="9" spans="1:19" x14ac:dyDescent="0.25">
      <c r="A9" t="s">
        <v>5</v>
      </c>
      <c r="B9">
        <v>1311</v>
      </c>
      <c r="C9" t="s">
        <v>8</v>
      </c>
      <c r="D9" t="s">
        <v>10</v>
      </c>
      <c r="E9">
        <v>12</v>
      </c>
      <c r="M9" t="str">
        <v>std</v>
      </c>
      <c r="N9">
        <v>323.39800957435756</v>
      </c>
      <c r="O9">
        <v>6.925588598051946</v>
      </c>
    </row>
    <row r="10" spans="1:19" x14ac:dyDescent="0.25">
      <c r="A10" t="s">
        <v>4</v>
      </c>
      <c r="B10">
        <v>11</v>
      </c>
      <c r="C10" t="s">
        <v>8</v>
      </c>
      <c r="D10" t="s">
        <v>10</v>
      </c>
      <c r="E10">
        <v>13</v>
      </c>
      <c r="M10" t="str">
        <v>min</v>
      </c>
      <c r="N10">
        <v>11</v>
      </c>
      <c r="O10">
        <v>0</v>
      </c>
    </row>
    <row r="11" spans="1:19" x14ac:dyDescent="0.25">
      <c r="A11" t="s">
        <v>6</v>
      </c>
      <c r="B11">
        <v>1200</v>
      </c>
      <c r="C11" t="s">
        <v>8</v>
      </c>
      <c r="D11" t="s">
        <v>10</v>
      </c>
      <c r="E11">
        <v>0.9</v>
      </c>
      <c r="M11" t="str">
        <v>25%</v>
      </c>
      <c r="N11">
        <v>444</v>
      </c>
      <c r="O11">
        <v>0.5</v>
      </c>
    </row>
    <row r="12" spans="1:19" x14ac:dyDescent="0.25">
      <c r="A12" t="s">
        <v>7</v>
      </c>
      <c r="B12">
        <v>32</v>
      </c>
      <c r="C12" t="s">
        <v>8</v>
      </c>
      <c r="D12" t="s">
        <v>10</v>
      </c>
      <c r="E12">
        <v>0</v>
      </c>
      <c r="M12" t="str">
        <v>50%</v>
      </c>
      <c r="N12">
        <v>462.5</v>
      </c>
      <c r="O12">
        <v>2.2000000000000002</v>
      </c>
    </row>
    <row r="13" spans="1:19" x14ac:dyDescent="0.25">
      <c r="A13" t="s">
        <v>5</v>
      </c>
      <c r="B13">
        <v>33</v>
      </c>
      <c r="C13" t="s">
        <v>8</v>
      </c>
      <c r="D13" t="s">
        <v>10</v>
      </c>
      <c r="E13">
        <v>21</v>
      </c>
      <c r="M13" t="str">
        <v>75%</v>
      </c>
      <c r="N13">
        <v>484.25</v>
      </c>
      <c r="O13">
        <v>12</v>
      </c>
    </row>
    <row r="14" spans="1:19" x14ac:dyDescent="0.25">
      <c r="A14" t="s">
        <v>4</v>
      </c>
      <c r="B14">
        <v>34</v>
      </c>
      <c r="C14" t="s">
        <v>8</v>
      </c>
      <c r="D14" t="s">
        <v>10</v>
      </c>
      <c r="E14">
        <v>1</v>
      </c>
      <c r="M14" t="str">
        <v>max</v>
      </c>
      <c r="N14">
        <v>1311</v>
      </c>
      <c r="O14">
        <v>21</v>
      </c>
    </row>
    <row r="15" spans="1:19" x14ac:dyDescent="0.25">
      <c r="A15" t="s">
        <v>4</v>
      </c>
      <c r="B15">
        <v>35</v>
      </c>
      <c r="C15" t="s">
        <v>8</v>
      </c>
      <c r="D15" t="s">
        <v>10</v>
      </c>
      <c r="E15">
        <v>0.5</v>
      </c>
    </row>
    <row r="16" spans="1:19" x14ac:dyDescent="0.25">
      <c r="A16" t="s">
        <v>5</v>
      </c>
      <c r="B16">
        <v>32</v>
      </c>
      <c r="C16" t="s">
        <v>8</v>
      </c>
      <c r="D16" t="s">
        <v>10</v>
      </c>
      <c r="E16">
        <v>0.5</v>
      </c>
      <c r="M16" s="1" t="s">
        <v>16</v>
      </c>
      <c r="N16" s="1"/>
      <c r="O16" s="1"/>
      <c r="P16" s="1"/>
      <c r="Q16" s="1"/>
      <c r="R16" s="1"/>
      <c r="S16" s="1"/>
    </row>
    <row r="17" spans="1:18" x14ac:dyDescent="0.25">
      <c r="A17" t="s">
        <v>6</v>
      </c>
      <c r="B17">
        <v>33</v>
      </c>
      <c r="C17" t="s">
        <v>8</v>
      </c>
      <c r="D17" t="s">
        <v>10</v>
      </c>
      <c r="E17">
        <v>0.5</v>
      </c>
      <c r="L17" t="e" cm="1" vm="7">
        <f t="array" ref="L17">_xlfn._xlws.PY(8,1,A2:E7)</f>
        <v>#VALUE!</v>
      </c>
      <c r="M17" t="str" cm="1">
        <f t="array" ref="M17:R22">_FV(L17,"arrayPreview")</f>
        <v/>
      </c>
      <c r="N17" t="str">
        <v>project</v>
      </c>
      <c r="O17" t="str">
        <v>employee</v>
      </c>
      <c r="P17" t="str">
        <v>turnover</v>
      </c>
      <c r="Q17" t="str">
        <v>month</v>
      </c>
      <c r="R17" t="str">
        <v>value</v>
      </c>
    </row>
    <row r="18" spans="1:18" x14ac:dyDescent="0.25">
      <c r="A18" t="s">
        <v>7</v>
      </c>
      <c r="B18">
        <v>35</v>
      </c>
      <c r="C18" t="s">
        <v>8</v>
      </c>
      <c r="D18" t="s">
        <v>10</v>
      </c>
      <c r="E18">
        <v>0.4</v>
      </c>
      <c r="M18">
        <v>0</v>
      </c>
      <c r="N18" t="str">
        <v>A</v>
      </c>
      <c r="O18">
        <v>123</v>
      </c>
      <c r="P18" t="str">
        <v>Y</v>
      </c>
      <c r="Q18" t="str">
        <v>Jan</v>
      </c>
      <c r="R18">
        <v>4</v>
      </c>
    </row>
    <row r="19" spans="1:18" x14ac:dyDescent="0.25">
      <c r="A19" t="s">
        <v>5</v>
      </c>
      <c r="B19">
        <v>35</v>
      </c>
      <c r="C19" t="s">
        <v>8</v>
      </c>
      <c r="D19" t="s">
        <v>10</v>
      </c>
      <c r="E19">
        <v>4</v>
      </c>
      <c r="M19">
        <v>1</v>
      </c>
      <c r="N19" t="str">
        <v>A</v>
      </c>
      <c r="O19">
        <v>321</v>
      </c>
      <c r="P19" t="str">
        <v>N</v>
      </c>
      <c r="Q19" t="str">
        <v>Jan</v>
      </c>
      <c r="R19">
        <v>3</v>
      </c>
    </row>
    <row r="20" spans="1:18" x14ac:dyDescent="0.25">
      <c r="A20" t="s">
        <v>5</v>
      </c>
      <c r="B20">
        <v>32</v>
      </c>
      <c r="C20" t="s">
        <v>8</v>
      </c>
      <c r="D20" t="s">
        <v>10</v>
      </c>
      <c r="E20">
        <v>3</v>
      </c>
      <c r="M20">
        <v>2</v>
      </c>
      <c r="N20" t="str">
        <v>B</v>
      </c>
      <c r="O20">
        <v>519</v>
      </c>
      <c r="P20" t="str">
        <v>Y</v>
      </c>
      <c r="Q20" t="str">
        <v>Jan</v>
      </c>
      <c r="R20">
        <v>20</v>
      </c>
    </row>
    <row r="21" spans="1:18" x14ac:dyDescent="0.25">
      <c r="A21" t="s">
        <v>4</v>
      </c>
      <c r="B21">
        <v>33</v>
      </c>
      <c r="C21" t="s">
        <v>8</v>
      </c>
      <c r="D21" t="s">
        <v>10</v>
      </c>
      <c r="E21">
        <v>20</v>
      </c>
      <c r="M21">
        <v>3</v>
      </c>
      <c r="N21" t="str">
        <v>C</v>
      </c>
      <c r="O21">
        <v>717</v>
      </c>
      <c r="P21" t="str">
        <v>N</v>
      </c>
      <c r="Q21" t="str">
        <v>Jan</v>
      </c>
      <c r="R21">
        <v>2.2000000000000002</v>
      </c>
    </row>
    <row r="22" spans="1:18" x14ac:dyDescent="0.25">
      <c r="A22" t="s">
        <v>4</v>
      </c>
      <c r="B22">
        <v>34</v>
      </c>
      <c r="C22" t="s">
        <v>8</v>
      </c>
      <c r="D22" t="s">
        <v>10</v>
      </c>
      <c r="E22">
        <v>2.2000000000000002</v>
      </c>
      <c r="M22">
        <v>4</v>
      </c>
      <c r="N22" t="str">
        <v>D</v>
      </c>
      <c r="O22">
        <v>915</v>
      </c>
      <c r="P22" t="str">
        <v>Y</v>
      </c>
      <c r="Q22" t="str">
        <v>Jan</v>
      </c>
      <c r="R22">
        <v>0.7</v>
      </c>
    </row>
    <row r="23" spans="1:18" x14ac:dyDescent="0.25">
      <c r="A23" t="s">
        <v>4</v>
      </c>
      <c r="B23">
        <v>35</v>
      </c>
      <c r="C23" t="s">
        <v>8</v>
      </c>
      <c r="D23" t="s">
        <v>10</v>
      </c>
      <c r="E23">
        <v>0.7</v>
      </c>
    </row>
    <row r="24" spans="1:18" x14ac:dyDescent="0.25">
      <c r="A24" t="s">
        <v>5</v>
      </c>
      <c r="B24">
        <v>123</v>
      </c>
      <c r="C24" t="s">
        <v>8</v>
      </c>
      <c r="D24" t="s">
        <v>10</v>
      </c>
      <c r="E24">
        <v>6</v>
      </c>
      <c r="M24" s="1" t="s">
        <v>13</v>
      </c>
      <c r="N24" s="1"/>
    </row>
    <row r="25" spans="1:18" x14ac:dyDescent="0.25">
      <c r="A25" t="s">
        <v>6</v>
      </c>
      <c r="B25">
        <v>321</v>
      </c>
      <c r="C25" t="s">
        <v>8</v>
      </c>
      <c r="D25" t="s">
        <v>10</v>
      </c>
      <c r="E25">
        <v>12</v>
      </c>
      <c r="L25" t="e" cm="1" vm="8">
        <f t="array" ref="L25">_xlfn._xlws.PY(9,1)</f>
        <v>#VALUE!</v>
      </c>
      <c r="M25" t="str" cm="1">
        <f t="array" ref="M25:N30">_FV(L25,"arrayPreview")</f>
        <v/>
      </c>
      <c r="N25" s="3">
        <v>1</v>
      </c>
    </row>
    <row r="26" spans="1:18" x14ac:dyDescent="0.25">
      <c r="A26" t="s">
        <v>7</v>
      </c>
      <c r="B26">
        <v>519</v>
      </c>
      <c r="C26" t="s">
        <v>8</v>
      </c>
      <c r="D26" t="s">
        <v>10</v>
      </c>
      <c r="E26">
        <v>13</v>
      </c>
      <c r="M26" t="str">
        <v>project</v>
      </c>
      <c r="N26" s="3" t="str">
        <v>A</v>
      </c>
    </row>
    <row r="27" spans="1:18" x14ac:dyDescent="0.25">
      <c r="A27" t="s">
        <v>5</v>
      </c>
      <c r="B27">
        <v>717</v>
      </c>
      <c r="C27" t="s">
        <v>8</v>
      </c>
      <c r="D27" t="s">
        <v>10</v>
      </c>
      <c r="E27">
        <v>0.9</v>
      </c>
      <c r="M27" t="str">
        <v>employee</v>
      </c>
      <c r="N27" s="3">
        <v>321</v>
      </c>
    </row>
    <row r="28" spans="1:18" x14ac:dyDescent="0.25">
      <c r="A28" t="s">
        <v>5</v>
      </c>
      <c r="B28">
        <v>915</v>
      </c>
      <c r="C28" t="s">
        <v>8</v>
      </c>
      <c r="D28" t="s">
        <v>10</v>
      </c>
      <c r="E28">
        <v>0</v>
      </c>
      <c r="M28" t="str">
        <v>turnover</v>
      </c>
      <c r="N28" s="3" t="str">
        <v>N</v>
      </c>
    </row>
    <row r="29" spans="1:18" x14ac:dyDescent="0.25">
      <c r="A29" t="s">
        <v>4</v>
      </c>
      <c r="B29">
        <v>1113</v>
      </c>
      <c r="C29" t="s">
        <v>8</v>
      </c>
      <c r="D29" t="s">
        <v>10</v>
      </c>
      <c r="E29">
        <v>21</v>
      </c>
      <c r="M29" t="str">
        <v>month</v>
      </c>
      <c r="N29" s="3" t="str">
        <v>Jan</v>
      </c>
    </row>
    <row r="30" spans="1:18" x14ac:dyDescent="0.25">
      <c r="A30" t="s">
        <v>6</v>
      </c>
      <c r="B30">
        <v>1311</v>
      </c>
      <c r="C30" t="s">
        <v>8</v>
      </c>
      <c r="D30" t="s">
        <v>10</v>
      </c>
      <c r="E30">
        <v>1</v>
      </c>
      <c r="M30" t="str">
        <v>value</v>
      </c>
      <c r="N30" s="3">
        <v>3</v>
      </c>
    </row>
    <row r="31" spans="1:18" x14ac:dyDescent="0.25">
      <c r="A31" t="s">
        <v>7</v>
      </c>
      <c r="B31">
        <v>11</v>
      </c>
      <c r="C31" t="s">
        <v>8</v>
      </c>
      <c r="D31" t="s">
        <v>10</v>
      </c>
      <c r="E31">
        <v>0.5</v>
      </c>
    </row>
    <row r="32" spans="1:18" x14ac:dyDescent="0.25">
      <c r="A32" t="s">
        <v>5</v>
      </c>
      <c r="B32">
        <v>1200</v>
      </c>
      <c r="C32" t="s">
        <v>8</v>
      </c>
      <c r="D32" t="s">
        <v>10</v>
      </c>
      <c r="E32">
        <v>0.5</v>
      </c>
    </row>
    <row r="33" spans="1:5" x14ac:dyDescent="0.25">
      <c r="A33" t="s">
        <v>4</v>
      </c>
      <c r="B33">
        <v>123</v>
      </c>
      <c r="C33" t="s">
        <v>9</v>
      </c>
      <c r="D33" t="s">
        <v>10</v>
      </c>
      <c r="E33">
        <v>0.5</v>
      </c>
    </row>
    <row r="34" spans="1:5" x14ac:dyDescent="0.25">
      <c r="A34" t="s">
        <v>4</v>
      </c>
      <c r="B34">
        <v>321</v>
      </c>
      <c r="C34" t="s">
        <v>8</v>
      </c>
      <c r="D34" t="s">
        <v>10</v>
      </c>
      <c r="E34">
        <v>0.4</v>
      </c>
    </row>
    <row r="35" spans="1:5" x14ac:dyDescent="0.25">
      <c r="A35" t="s">
        <v>5</v>
      </c>
      <c r="B35">
        <v>519</v>
      </c>
      <c r="C35" t="s">
        <v>8</v>
      </c>
      <c r="D35" t="s">
        <v>10</v>
      </c>
      <c r="E35">
        <v>4</v>
      </c>
    </row>
    <row r="36" spans="1:5" x14ac:dyDescent="0.25">
      <c r="A36" t="s">
        <v>6</v>
      </c>
      <c r="B36">
        <v>717</v>
      </c>
      <c r="C36" t="s">
        <v>8</v>
      </c>
      <c r="D36" t="s">
        <v>10</v>
      </c>
      <c r="E36">
        <v>3</v>
      </c>
    </row>
    <row r="37" spans="1:5" x14ac:dyDescent="0.25">
      <c r="A37" t="s">
        <v>7</v>
      </c>
      <c r="B37">
        <v>915</v>
      </c>
      <c r="C37" t="s">
        <v>8</v>
      </c>
      <c r="D37" t="s">
        <v>10</v>
      </c>
      <c r="E37">
        <v>20</v>
      </c>
    </row>
    <row r="38" spans="1:5" x14ac:dyDescent="0.25">
      <c r="A38" t="s">
        <v>5</v>
      </c>
      <c r="B38">
        <v>1113</v>
      </c>
      <c r="C38" t="s">
        <v>8</v>
      </c>
      <c r="D38" t="s">
        <v>10</v>
      </c>
      <c r="E38">
        <v>2.2000000000000002</v>
      </c>
    </row>
    <row r="39" spans="1:5" x14ac:dyDescent="0.25">
      <c r="A39" t="s">
        <v>5</v>
      </c>
      <c r="B39">
        <v>1311</v>
      </c>
      <c r="C39" t="s">
        <v>8</v>
      </c>
      <c r="D39" t="s">
        <v>10</v>
      </c>
      <c r="E39">
        <v>0.7</v>
      </c>
    </row>
    <row r="40" spans="1:5" x14ac:dyDescent="0.25">
      <c r="A40" t="s">
        <v>4</v>
      </c>
      <c r="B40">
        <v>11</v>
      </c>
      <c r="C40" t="s">
        <v>8</v>
      </c>
      <c r="D40" t="s">
        <v>10</v>
      </c>
      <c r="E40">
        <v>6</v>
      </c>
    </row>
    <row r="41" spans="1:5" x14ac:dyDescent="0.25">
      <c r="A41" t="s">
        <v>4</v>
      </c>
      <c r="B41">
        <v>1200</v>
      </c>
      <c r="C41" t="s">
        <v>8</v>
      </c>
      <c r="D41" t="s">
        <v>10</v>
      </c>
      <c r="E41">
        <v>12</v>
      </c>
    </row>
    <row r="42" spans="1:5" x14ac:dyDescent="0.25">
      <c r="A42" t="s">
        <v>4</v>
      </c>
      <c r="B42">
        <v>444</v>
      </c>
      <c r="C42" t="s">
        <v>8</v>
      </c>
      <c r="D42" t="s">
        <v>10</v>
      </c>
      <c r="E42">
        <v>13</v>
      </c>
    </row>
    <row r="43" spans="1:5" x14ac:dyDescent="0.25">
      <c r="A43" t="s">
        <v>5</v>
      </c>
      <c r="B43">
        <v>444</v>
      </c>
      <c r="C43" t="s">
        <v>8</v>
      </c>
      <c r="D43" t="s">
        <v>10</v>
      </c>
      <c r="E43">
        <v>0.9</v>
      </c>
    </row>
    <row r="44" spans="1:5" x14ac:dyDescent="0.25">
      <c r="A44" t="s">
        <v>6</v>
      </c>
      <c r="B44">
        <v>444</v>
      </c>
      <c r="C44" t="s">
        <v>8</v>
      </c>
      <c r="D44" t="s">
        <v>10</v>
      </c>
      <c r="E44">
        <v>0</v>
      </c>
    </row>
    <row r="45" spans="1:5" x14ac:dyDescent="0.25">
      <c r="A45" t="s">
        <v>7</v>
      </c>
      <c r="B45">
        <v>444</v>
      </c>
      <c r="C45" t="s">
        <v>8</v>
      </c>
      <c r="D45" t="s">
        <v>10</v>
      </c>
      <c r="E45">
        <v>21</v>
      </c>
    </row>
    <row r="46" spans="1:5" x14ac:dyDescent="0.25">
      <c r="A46" t="s">
        <v>5</v>
      </c>
      <c r="B46">
        <v>444</v>
      </c>
      <c r="C46" t="s">
        <v>9</v>
      </c>
      <c r="D46" t="s">
        <v>10</v>
      </c>
      <c r="E46">
        <v>1</v>
      </c>
    </row>
    <row r="47" spans="1:5" x14ac:dyDescent="0.25">
      <c r="A47" t="s">
        <v>5</v>
      </c>
      <c r="B47">
        <v>445</v>
      </c>
      <c r="C47" t="s">
        <v>8</v>
      </c>
      <c r="D47" t="s">
        <v>10</v>
      </c>
      <c r="E47">
        <v>0.5</v>
      </c>
    </row>
    <row r="48" spans="1:5" x14ac:dyDescent="0.25">
      <c r="A48" t="s">
        <v>4</v>
      </c>
      <c r="B48">
        <v>446</v>
      </c>
      <c r="C48" t="s">
        <v>9</v>
      </c>
      <c r="D48" t="s">
        <v>10</v>
      </c>
      <c r="E48">
        <v>0.5</v>
      </c>
    </row>
    <row r="49" spans="1:5" x14ac:dyDescent="0.25">
      <c r="A49" t="s">
        <v>6</v>
      </c>
      <c r="B49">
        <v>447</v>
      </c>
      <c r="C49" t="s">
        <v>8</v>
      </c>
      <c r="D49" t="s">
        <v>10</v>
      </c>
      <c r="E49">
        <v>0.5</v>
      </c>
    </row>
    <row r="50" spans="1:5" x14ac:dyDescent="0.25">
      <c r="A50" t="s">
        <v>7</v>
      </c>
      <c r="B50">
        <v>448</v>
      </c>
      <c r="C50" t="s">
        <v>8</v>
      </c>
      <c r="D50" t="s">
        <v>10</v>
      </c>
      <c r="E50">
        <v>0.4</v>
      </c>
    </row>
    <row r="51" spans="1:5" x14ac:dyDescent="0.25">
      <c r="A51" t="s">
        <v>5</v>
      </c>
      <c r="B51">
        <v>449</v>
      </c>
      <c r="C51" t="s">
        <v>8</v>
      </c>
      <c r="D51" t="s">
        <v>10</v>
      </c>
      <c r="E51">
        <v>4</v>
      </c>
    </row>
    <row r="52" spans="1:5" x14ac:dyDescent="0.25">
      <c r="A52" t="s">
        <v>4</v>
      </c>
      <c r="B52">
        <v>450</v>
      </c>
      <c r="C52" t="s">
        <v>8</v>
      </c>
      <c r="D52" t="s">
        <v>10</v>
      </c>
      <c r="E52">
        <v>3</v>
      </c>
    </row>
    <row r="53" spans="1:5" x14ac:dyDescent="0.25">
      <c r="A53" t="s">
        <v>4</v>
      </c>
      <c r="B53">
        <v>451</v>
      </c>
      <c r="C53" t="s">
        <v>8</v>
      </c>
      <c r="D53" t="s">
        <v>10</v>
      </c>
      <c r="E53">
        <v>20</v>
      </c>
    </row>
    <row r="54" spans="1:5" x14ac:dyDescent="0.25">
      <c r="A54" t="s">
        <v>5</v>
      </c>
      <c r="B54">
        <v>452</v>
      </c>
      <c r="C54" t="s">
        <v>8</v>
      </c>
      <c r="D54" t="s">
        <v>10</v>
      </c>
      <c r="E54">
        <v>2.2000000000000002</v>
      </c>
    </row>
    <row r="55" spans="1:5" x14ac:dyDescent="0.25">
      <c r="A55" t="s">
        <v>6</v>
      </c>
      <c r="B55">
        <v>453</v>
      </c>
      <c r="C55" t="s">
        <v>8</v>
      </c>
      <c r="D55" t="s">
        <v>10</v>
      </c>
      <c r="E55">
        <v>0.7</v>
      </c>
    </row>
    <row r="56" spans="1:5" x14ac:dyDescent="0.25">
      <c r="A56" t="s">
        <v>7</v>
      </c>
      <c r="B56">
        <v>454</v>
      </c>
      <c r="C56" t="s">
        <v>8</v>
      </c>
      <c r="D56" t="s">
        <v>10</v>
      </c>
      <c r="E56">
        <v>6</v>
      </c>
    </row>
    <row r="57" spans="1:5" x14ac:dyDescent="0.25">
      <c r="A57" t="s">
        <v>5</v>
      </c>
      <c r="B57">
        <v>455</v>
      </c>
      <c r="C57" t="s">
        <v>8</v>
      </c>
      <c r="D57" t="s">
        <v>10</v>
      </c>
      <c r="E57">
        <v>12</v>
      </c>
    </row>
    <row r="58" spans="1:5" x14ac:dyDescent="0.25">
      <c r="A58" t="s">
        <v>5</v>
      </c>
      <c r="B58">
        <v>456</v>
      </c>
      <c r="C58" t="s">
        <v>8</v>
      </c>
      <c r="D58" t="s">
        <v>10</v>
      </c>
      <c r="E58">
        <v>13</v>
      </c>
    </row>
    <row r="59" spans="1:5" x14ac:dyDescent="0.25">
      <c r="A59" t="s">
        <v>4</v>
      </c>
      <c r="B59">
        <v>457</v>
      </c>
      <c r="C59" t="s">
        <v>8</v>
      </c>
      <c r="D59" t="s">
        <v>10</v>
      </c>
      <c r="E59">
        <v>0.9</v>
      </c>
    </row>
    <row r="60" spans="1:5" x14ac:dyDescent="0.25">
      <c r="A60" t="s">
        <v>4</v>
      </c>
      <c r="B60">
        <v>458</v>
      </c>
      <c r="C60" t="s">
        <v>8</v>
      </c>
      <c r="D60" t="s">
        <v>10</v>
      </c>
      <c r="E60">
        <v>0</v>
      </c>
    </row>
    <row r="61" spans="1:5" x14ac:dyDescent="0.25">
      <c r="A61" t="s">
        <v>4</v>
      </c>
      <c r="B61">
        <v>459</v>
      </c>
      <c r="C61" t="s">
        <v>8</v>
      </c>
      <c r="D61" t="s">
        <v>10</v>
      </c>
      <c r="E61">
        <v>21</v>
      </c>
    </row>
    <row r="62" spans="1:5" x14ac:dyDescent="0.25">
      <c r="A62" t="s">
        <v>5</v>
      </c>
      <c r="B62">
        <v>460</v>
      </c>
      <c r="C62" t="s">
        <v>8</v>
      </c>
      <c r="D62" t="s">
        <v>10</v>
      </c>
      <c r="E62">
        <v>1</v>
      </c>
    </row>
    <row r="63" spans="1:5" x14ac:dyDescent="0.25">
      <c r="A63" t="s">
        <v>6</v>
      </c>
      <c r="B63">
        <v>461</v>
      </c>
      <c r="C63" t="s">
        <v>8</v>
      </c>
      <c r="D63" t="s">
        <v>10</v>
      </c>
      <c r="E63">
        <v>0.5</v>
      </c>
    </row>
    <row r="64" spans="1:5" x14ac:dyDescent="0.25">
      <c r="A64" t="s">
        <v>7</v>
      </c>
      <c r="B64">
        <v>462</v>
      </c>
      <c r="C64" t="s">
        <v>8</v>
      </c>
      <c r="D64" t="s">
        <v>10</v>
      </c>
      <c r="E64">
        <v>0.5</v>
      </c>
    </row>
    <row r="65" spans="1:5" x14ac:dyDescent="0.25">
      <c r="A65" t="s">
        <v>5</v>
      </c>
      <c r="B65">
        <v>463</v>
      </c>
      <c r="C65" t="s">
        <v>8</v>
      </c>
      <c r="D65" t="s">
        <v>10</v>
      </c>
      <c r="E65">
        <v>0.5</v>
      </c>
    </row>
    <row r="66" spans="1:5" x14ac:dyDescent="0.25">
      <c r="A66" t="s">
        <v>5</v>
      </c>
      <c r="B66">
        <v>464</v>
      </c>
      <c r="C66" t="s">
        <v>8</v>
      </c>
      <c r="D66" t="s">
        <v>10</v>
      </c>
      <c r="E66">
        <v>0.4</v>
      </c>
    </row>
    <row r="67" spans="1:5" x14ac:dyDescent="0.25">
      <c r="A67" t="s">
        <v>4</v>
      </c>
      <c r="B67">
        <v>465</v>
      </c>
      <c r="C67" t="s">
        <v>8</v>
      </c>
      <c r="D67" t="s">
        <v>10</v>
      </c>
      <c r="E67">
        <v>4</v>
      </c>
    </row>
    <row r="68" spans="1:5" x14ac:dyDescent="0.25">
      <c r="A68" t="s">
        <v>6</v>
      </c>
      <c r="B68">
        <v>466</v>
      </c>
      <c r="C68" t="s">
        <v>8</v>
      </c>
      <c r="D68" t="s">
        <v>10</v>
      </c>
      <c r="E68">
        <v>3</v>
      </c>
    </row>
    <row r="69" spans="1:5" x14ac:dyDescent="0.25">
      <c r="A69" t="s">
        <v>7</v>
      </c>
      <c r="B69">
        <v>467</v>
      </c>
      <c r="C69" t="s">
        <v>8</v>
      </c>
      <c r="D69" t="s">
        <v>10</v>
      </c>
      <c r="E69">
        <v>20</v>
      </c>
    </row>
    <row r="70" spans="1:5" x14ac:dyDescent="0.25">
      <c r="A70" t="s">
        <v>5</v>
      </c>
      <c r="B70">
        <v>468</v>
      </c>
      <c r="C70" t="s">
        <v>8</v>
      </c>
      <c r="D70" t="s">
        <v>10</v>
      </c>
      <c r="E70">
        <v>2.2000000000000002</v>
      </c>
    </row>
    <row r="71" spans="1:5" x14ac:dyDescent="0.25">
      <c r="A71" t="s">
        <v>4</v>
      </c>
      <c r="B71">
        <v>469</v>
      </c>
      <c r="C71" t="s">
        <v>8</v>
      </c>
      <c r="D71" t="s">
        <v>31</v>
      </c>
      <c r="E71">
        <v>0.7</v>
      </c>
    </row>
    <row r="72" spans="1:5" x14ac:dyDescent="0.25">
      <c r="A72" t="s">
        <v>4</v>
      </c>
      <c r="B72">
        <v>470</v>
      </c>
      <c r="C72" t="s">
        <v>8</v>
      </c>
      <c r="D72" t="s">
        <v>31</v>
      </c>
      <c r="E72">
        <v>6</v>
      </c>
    </row>
    <row r="73" spans="1:5" x14ac:dyDescent="0.25">
      <c r="A73" t="s">
        <v>5</v>
      </c>
      <c r="B73">
        <v>471</v>
      </c>
      <c r="C73" t="s">
        <v>8</v>
      </c>
      <c r="D73" t="s">
        <v>31</v>
      </c>
      <c r="E73">
        <v>12</v>
      </c>
    </row>
    <row r="74" spans="1:5" x14ac:dyDescent="0.25">
      <c r="A74" t="s">
        <v>6</v>
      </c>
      <c r="B74">
        <v>472</v>
      </c>
      <c r="C74" t="s">
        <v>8</v>
      </c>
      <c r="D74" t="s">
        <v>31</v>
      </c>
      <c r="E74">
        <v>13</v>
      </c>
    </row>
    <row r="75" spans="1:5" x14ac:dyDescent="0.25">
      <c r="A75" t="s">
        <v>7</v>
      </c>
      <c r="B75">
        <v>473</v>
      </c>
      <c r="C75" t="s">
        <v>8</v>
      </c>
      <c r="D75" t="s">
        <v>31</v>
      </c>
      <c r="E75">
        <v>0.9</v>
      </c>
    </row>
    <row r="76" spans="1:5" x14ac:dyDescent="0.25">
      <c r="A76" t="s">
        <v>5</v>
      </c>
      <c r="B76">
        <v>474</v>
      </c>
      <c r="C76" t="s">
        <v>8</v>
      </c>
      <c r="D76" t="s">
        <v>31</v>
      </c>
      <c r="E76">
        <v>0</v>
      </c>
    </row>
    <row r="77" spans="1:5" x14ac:dyDescent="0.25">
      <c r="A77" t="s">
        <v>5</v>
      </c>
      <c r="B77">
        <v>475</v>
      </c>
      <c r="C77" t="s">
        <v>8</v>
      </c>
      <c r="D77" t="s">
        <v>31</v>
      </c>
      <c r="E77">
        <v>21</v>
      </c>
    </row>
    <row r="78" spans="1:5" x14ac:dyDescent="0.25">
      <c r="A78" t="s">
        <v>4</v>
      </c>
      <c r="B78">
        <v>476</v>
      </c>
      <c r="C78" t="s">
        <v>8</v>
      </c>
      <c r="D78" t="s">
        <v>31</v>
      </c>
      <c r="E78">
        <v>1</v>
      </c>
    </row>
    <row r="79" spans="1:5" x14ac:dyDescent="0.25">
      <c r="A79" t="s">
        <v>4</v>
      </c>
      <c r="B79">
        <v>477</v>
      </c>
      <c r="C79" t="s">
        <v>8</v>
      </c>
      <c r="D79" t="s">
        <v>32</v>
      </c>
      <c r="E79">
        <v>0.5</v>
      </c>
    </row>
    <row r="80" spans="1:5" x14ac:dyDescent="0.25">
      <c r="A80" t="s">
        <v>4</v>
      </c>
      <c r="B80">
        <v>478</v>
      </c>
      <c r="C80" t="s">
        <v>8</v>
      </c>
      <c r="D80" t="s">
        <v>32</v>
      </c>
      <c r="E80">
        <v>0.5</v>
      </c>
    </row>
    <row r="81" spans="1:5" x14ac:dyDescent="0.25">
      <c r="A81" t="s">
        <v>5</v>
      </c>
      <c r="B81">
        <v>479</v>
      </c>
      <c r="C81" t="s">
        <v>8</v>
      </c>
      <c r="D81" t="s">
        <v>32</v>
      </c>
      <c r="E81">
        <v>0.5</v>
      </c>
    </row>
    <row r="82" spans="1:5" x14ac:dyDescent="0.25">
      <c r="A82" t="s">
        <v>6</v>
      </c>
      <c r="B82">
        <v>480</v>
      </c>
      <c r="C82" t="s">
        <v>8</v>
      </c>
      <c r="D82" t="s">
        <v>32</v>
      </c>
      <c r="E82">
        <v>0.4</v>
      </c>
    </row>
    <row r="83" spans="1:5" x14ac:dyDescent="0.25">
      <c r="A83" t="s">
        <v>7</v>
      </c>
      <c r="B83">
        <v>481</v>
      </c>
      <c r="C83" t="s">
        <v>8</v>
      </c>
      <c r="D83" t="s">
        <v>32</v>
      </c>
      <c r="E83">
        <v>4</v>
      </c>
    </row>
    <row r="84" spans="1:5" x14ac:dyDescent="0.25">
      <c r="A84" t="s">
        <v>5</v>
      </c>
      <c r="B84">
        <v>482</v>
      </c>
      <c r="C84" t="s">
        <v>8</v>
      </c>
      <c r="D84" t="s">
        <v>32</v>
      </c>
      <c r="E84">
        <v>3</v>
      </c>
    </row>
    <row r="85" spans="1:5" x14ac:dyDescent="0.25">
      <c r="A85" t="s">
        <v>5</v>
      </c>
      <c r="B85">
        <v>483</v>
      </c>
      <c r="C85" t="s">
        <v>8</v>
      </c>
      <c r="D85" t="s">
        <v>32</v>
      </c>
      <c r="E85">
        <v>20</v>
      </c>
    </row>
    <row r="86" spans="1:5" x14ac:dyDescent="0.25">
      <c r="A86" t="s">
        <v>4</v>
      </c>
      <c r="B86">
        <v>484</v>
      </c>
      <c r="C86" t="s">
        <v>8</v>
      </c>
      <c r="D86" t="s">
        <v>32</v>
      </c>
      <c r="E86">
        <v>2.2000000000000002</v>
      </c>
    </row>
    <row r="87" spans="1:5" x14ac:dyDescent="0.25">
      <c r="A87" t="s">
        <v>4</v>
      </c>
      <c r="B87">
        <v>485</v>
      </c>
      <c r="C87" t="s">
        <v>8</v>
      </c>
      <c r="D87" t="s">
        <v>32</v>
      </c>
      <c r="E87">
        <v>0.7</v>
      </c>
    </row>
    <row r="88" spans="1:5" x14ac:dyDescent="0.25">
      <c r="A88" t="s">
        <v>4</v>
      </c>
      <c r="B88">
        <v>486</v>
      </c>
      <c r="C88" t="s">
        <v>8</v>
      </c>
      <c r="D88" t="s">
        <v>32</v>
      </c>
      <c r="E88">
        <v>6</v>
      </c>
    </row>
    <row r="89" spans="1:5" x14ac:dyDescent="0.25">
      <c r="A89" t="s">
        <v>5</v>
      </c>
      <c r="B89">
        <v>487</v>
      </c>
      <c r="C89" t="s">
        <v>8</v>
      </c>
      <c r="D89" t="s">
        <v>32</v>
      </c>
      <c r="E89">
        <v>12</v>
      </c>
    </row>
    <row r="90" spans="1:5" x14ac:dyDescent="0.25">
      <c r="A90" t="s">
        <v>6</v>
      </c>
      <c r="B90">
        <v>488</v>
      </c>
      <c r="C90" t="s">
        <v>8</v>
      </c>
      <c r="D90" t="s">
        <v>32</v>
      </c>
      <c r="E90">
        <v>13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545CB-E93A-4E51-AE79-95E34D1AFF9D}">
  <sheetPr codeName="Sheet3">
    <tabColor theme="6" tint="0.39997558519241921"/>
  </sheetPr>
  <dimension ref="B1:Q31"/>
  <sheetViews>
    <sheetView workbookViewId="0">
      <selection activeCell="B2" sqref="B2"/>
    </sheetView>
  </sheetViews>
  <sheetFormatPr defaultRowHeight="15" x14ac:dyDescent="0.25"/>
  <cols>
    <col min="2" max="2" width="11.28515625" customWidth="1"/>
    <col min="3" max="3" width="12.7109375" customWidth="1"/>
    <col min="11" max="11" width="9.42578125" customWidth="1"/>
    <col min="13" max="13" width="9.42578125" bestFit="1" customWidth="1"/>
    <col min="17" max="17" width="13.85546875" customWidth="1"/>
  </cols>
  <sheetData>
    <row r="1" spans="2:17" x14ac:dyDescent="0.25">
      <c r="B1" s="1" t="s">
        <v>14</v>
      </c>
      <c r="C1" s="1"/>
    </row>
    <row r="2" spans="2:17" x14ac:dyDescent="0.25">
      <c r="B2" cm="1" vm="9">
        <f t="array" ref="B2">_xlfn._xlws.PY(10,1)</f>
        <v>41839</v>
      </c>
    </row>
    <row r="4" spans="2:17" x14ac:dyDescent="0.25">
      <c r="C4" s="1" t="s">
        <v>33</v>
      </c>
      <c r="D4" s="1"/>
      <c r="E4" s="1"/>
      <c r="K4" s="1" t="s">
        <v>34</v>
      </c>
      <c r="L4" s="1"/>
      <c r="M4" s="1"/>
      <c r="N4" s="1"/>
    </row>
    <row r="5" spans="2:17" x14ac:dyDescent="0.25">
      <c r="B5" t="e" cm="1" vm="10">
        <f t="array" ref="B5">_xlfn._xlws.PY(11,1)</f>
        <v>#VALUE!</v>
      </c>
      <c r="C5" t="str" cm="1">
        <f t="array" ref="C5:E16">_FV(B5,"arrayPreview")</f>
        <v>project</v>
      </c>
      <c r="D5" t="str">
        <v>month</v>
      </c>
      <c r="E5" t="str">
        <v>value</v>
      </c>
      <c r="K5" t="e" cm="1" vm="11">
        <f t="array" ref="K5">_xlfn._xlws.PY(12,1)</f>
        <v>#VALUE!</v>
      </c>
      <c r="L5" t="str" cm="1">
        <f t="array" ref="L5:O10">_FV(K5,"arrayPreview")</f>
        <v>month</v>
      </c>
      <c r="M5" t="str">
        <v>Feb</v>
      </c>
      <c r="N5" t="str">
        <v>Jan</v>
      </c>
      <c r="O5" t="str">
        <v>Mar</v>
      </c>
    </row>
    <row r="6" spans="2:17" x14ac:dyDescent="0.25">
      <c r="C6" t="str">
        <v>A</v>
      </c>
      <c r="D6" t="str">
        <v>Feb</v>
      </c>
      <c r="E6">
        <v>7.7</v>
      </c>
      <c r="L6" t="str">
        <v>project</v>
      </c>
      <c r="M6" t="str">
        <v/>
      </c>
      <c r="N6" t="str">
        <v/>
      </c>
      <c r="O6" t="str">
        <v/>
      </c>
    </row>
    <row r="7" spans="2:17" x14ac:dyDescent="0.25">
      <c r="C7" t="str">
        <v>A</v>
      </c>
      <c r="D7" t="str">
        <v>Jan</v>
      </c>
      <c r="E7">
        <v>146.69999999999999</v>
      </c>
      <c r="L7" t="str">
        <v>A</v>
      </c>
      <c r="M7">
        <v>7.7</v>
      </c>
      <c r="N7">
        <v>146.69999999999999</v>
      </c>
      <c r="O7">
        <v>9.9</v>
      </c>
    </row>
    <row r="8" spans="2:17" x14ac:dyDescent="0.25">
      <c r="C8" t="str">
        <v>A</v>
      </c>
      <c r="D8" t="str">
        <v>Mar</v>
      </c>
      <c r="E8">
        <v>9.9</v>
      </c>
      <c r="L8" t="str">
        <v>B</v>
      </c>
      <c r="M8">
        <v>33</v>
      </c>
      <c r="N8">
        <v>118.5</v>
      </c>
      <c r="O8">
        <v>35.5</v>
      </c>
    </row>
    <row r="9" spans="2:17" x14ac:dyDescent="0.25">
      <c r="C9" t="str">
        <v>B</v>
      </c>
      <c r="D9" t="str">
        <v>Feb</v>
      </c>
      <c r="E9">
        <v>33</v>
      </c>
      <c r="L9" t="str">
        <v>C</v>
      </c>
      <c r="M9">
        <v>13</v>
      </c>
      <c r="N9">
        <v>24.3</v>
      </c>
      <c r="O9">
        <v>13.4</v>
      </c>
    </row>
    <row r="10" spans="2:17" x14ac:dyDescent="0.25">
      <c r="C10" t="str">
        <v>B</v>
      </c>
      <c r="D10" t="str">
        <v>Jan</v>
      </c>
      <c r="E10">
        <v>118.5</v>
      </c>
      <c r="L10" t="str">
        <v>D</v>
      </c>
      <c r="M10">
        <v>0.9</v>
      </c>
      <c r="N10">
        <v>82.5</v>
      </c>
      <c r="O10">
        <v>4</v>
      </c>
    </row>
    <row r="11" spans="2:17" x14ac:dyDescent="0.25">
      <c r="C11" t="str">
        <v>...</v>
      </c>
      <c r="D11" t="str">
        <v>...</v>
      </c>
      <c r="E11" t="str">
        <v>...</v>
      </c>
    </row>
    <row r="12" spans="2:17" x14ac:dyDescent="0.25">
      <c r="C12" t="str">
        <v>C</v>
      </c>
      <c r="D12" t="str">
        <v>Jan</v>
      </c>
      <c r="E12">
        <v>24.3</v>
      </c>
    </row>
    <row r="13" spans="2:17" x14ac:dyDescent="0.25">
      <c r="C13" t="str">
        <v>C</v>
      </c>
      <c r="D13" t="str">
        <v>Mar</v>
      </c>
      <c r="E13">
        <v>13.4</v>
      </c>
    </row>
    <row r="14" spans="2:17" x14ac:dyDescent="0.25">
      <c r="C14" t="str">
        <v>D</v>
      </c>
      <c r="D14" t="str">
        <v>Feb</v>
      </c>
      <c r="E14">
        <v>0.9</v>
      </c>
    </row>
    <row r="15" spans="2:17" x14ac:dyDescent="0.25">
      <c r="C15" t="str">
        <v>D</v>
      </c>
      <c r="D15" t="str">
        <v>Jan</v>
      </c>
      <c r="E15">
        <v>82.5</v>
      </c>
      <c r="M15" s="1" t="s">
        <v>35</v>
      </c>
      <c r="N15" s="1"/>
      <c r="O15" s="1"/>
      <c r="Q15" cm="1" vm="1">
        <f t="array" ref="Q15">_xlfn._xlws.PY(13,1)</f>
        <v>0</v>
      </c>
    </row>
    <row r="16" spans="2:17" x14ac:dyDescent="0.25">
      <c r="C16" t="str">
        <v>D</v>
      </c>
      <c r="D16" t="str">
        <v>Mar</v>
      </c>
      <c r="E16">
        <v>4</v>
      </c>
    </row>
    <row r="17" spans="3:17" x14ac:dyDescent="0.25">
      <c r="M17" t="e" cm="1" vm="12">
        <f t="array" ref="M17">_xlfn._xlws.PY(14,1)</f>
        <v>#VALUE!</v>
      </c>
      <c r="N17" t="str" cm="1">
        <f t="array" ref="N17:Q22">_FV(M17,"arrayPreview")</f>
        <v>month</v>
      </c>
      <c r="O17" t="str">
        <v>Jan</v>
      </c>
      <c r="P17" t="str">
        <v>Feb</v>
      </c>
      <c r="Q17" t="str">
        <v>Mar</v>
      </c>
    </row>
    <row r="18" spans="3:17" x14ac:dyDescent="0.25">
      <c r="N18" t="str">
        <v>project</v>
      </c>
      <c r="O18" t="str">
        <v/>
      </c>
      <c r="P18" t="str">
        <v/>
      </c>
      <c r="Q18" t="str">
        <v/>
      </c>
    </row>
    <row r="19" spans="3:17" x14ac:dyDescent="0.25">
      <c r="D19" s="1" t="s">
        <v>17</v>
      </c>
      <c r="E19" s="1"/>
      <c r="F19" s="1"/>
      <c r="G19" s="1"/>
      <c r="H19" s="1"/>
      <c r="I19" s="1"/>
      <c r="N19" t="str">
        <v>A</v>
      </c>
      <c r="O19">
        <v>146.69999999999999</v>
      </c>
      <c r="P19">
        <v>7.7</v>
      </c>
      <c r="Q19">
        <v>9.9</v>
      </c>
    </row>
    <row r="20" spans="3:17" x14ac:dyDescent="0.25">
      <c r="C20" t="e" cm="1" vm="13">
        <f t="array" ref="C20">_xlfn._xlws.PY(15,1)</f>
        <v>#VALUE!</v>
      </c>
      <c r="D20" t="str" cm="1">
        <f t="array" ref="D20:F31">_FV(C20,"arrayPreview")</f>
        <v/>
      </c>
      <c r="E20" t="str">
        <v>employee</v>
      </c>
      <c r="F20" t="str">
        <v>turnover</v>
      </c>
      <c r="N20" t="str">
        <v>B</v>
      </c>
      <c r="O20">
        <v>118.5</v>
      </c>
      <c r="P20">
        <v>33</v>
      </c>
      <c r="Q20">
        <v>35.5</v>
      </c>
    </row>
    <row r="21" spans="3:17" x14ac:dyDescent="0.25">
      <c r="D21">
        <v>20</v>
      </c>
      <c r="E21">
        <v>35</v>
      </c>
      <c r="F21" t="str">
        <v>Y</v>
      </c>
      <c r="N21" t="str">
        <v>C</v>
      </c>
      <c r="O21">
        <v>24.3</v>
      </c>
      <c r="P21">
        <v>13</v>
      </c>
      <c r="Q21">
        <v>13.4</v>
      </c>
    </row>
    <row r="22" spans="3:17" x14ac:dyDescent="0.25">
      <c r="D22">
        <v>21</v>
      </c>
      <c r="E22">
        <v>123</v>
      </c>
      <c r="F22" t="str">
        <v>Y</v>
      </c>
      <c r="N22" t="str">
        <v>D</v>
      </c>
      <c r="O22">
        <v>82.5</v>
      </c>
      <c r="P22">
        <v>0.9</v>
      </c>
      <c r="Q22">
        <v>4</v>
      </c>
    </row>
    <row r="23" spans="3:17" x14ac:dyDescent="0.25">
      <c r="D23">
        <v>22</v>
      </c>
      <c r="E23">
        <v>321</v>
      </c>
      <c r="F23" t="str">
        <v>Y</v>
      </c>
    </row>
    <row r="24" spans="3:17" x14ac:dyDescent="0.25">
      <c r="D24">
        <v>23</v>
      </c>
      <c r="E24">
        <v>519</v>
      </c>
      <c r="F24" t="str">
        <v>Y</v>
      </c>
    </row>
    <row r="25" spans="3:17" x14ac:dyDescent="0.25">
      <c r="D25">
        <v>24</v>
      </c>
      <c r="E25">
        <v>717</v>
      </c>
      <c r="F25" t="str">
        <v>Y</v>
      </c>
    </row>
    <row r="26" spans="3:17" x14ac:dyDescent="0.25">
      <c r="D26" t="str">
        <v>...</v>
      </c>
      <c r="E26" t="str">
        <v>...</v>
      </c>
      <c r="F26" t="str">
        <v>...</v>
      </c>
    </row>
    <row r="27" spans="3:17" x14ac:dyDescent="0.25">
      <c r="D27">
        <v>75</v>
      </c>
      <c r="E27">
        <v>476</v>
      </c>
      <c r="F27" t="str">
        <v>Y</v>
      </c>
    </row>
    <row r="28" spans="3:17" x14ac:dyDescent="0.25">
      <c r="D28">
        <v>76</v>
      </c>
      <c r="E28">
        <v>477</v>
      </c>
      <c r="F28" t="str">
        <v>Y</v>
      </c>
    </row>
    <row r="29" spans="3:17" x14ac:dyDescent="0.25">
      <c r="D29">
        <v>77</v>
      </c>
      <c r="E29">
        <v>478</v>
      </c>
      <c r="F29" t="str">
        <v>Y</v>
      </c>
    </row>
    <row r="30" spans="3:17" x14ac:dyDescent="0.25">
      <c r="D30">
        <v>78</v>
      </c>
      <c r="E30">
        <v>479</v>
      </c>
      <c r="F30" t="str">
        <v>Y</v>
      </c>
    </row>
    <row r="31" spans="3:17" x14ac:dyDescent="0.25">
      <c r="D31">
        <v>79</v>
      </c>
      <c r="E31">
        <v>480</v>
      </c>
      <c r="F31" t="str">
        <v>Y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DB2D1-9585-4E12-B30C-C7093AE935C7}">
  <sheetPr codeName="Sheet4">
    <tabColor theme="6" tint="0.39997558519241921"/>
  </sheetPr>
  <dimension ref="B1:R23"/>
  <sheetViews>
    <sheetView workbookViewId="0">
      <selection activeCell="N18" sqref="N18"/>
    </sheetView>
  </sheetViews>
  <sheetFormatPr defaultRowHeight="15" x14ac:dyDescent="0.25"/>
  <cols>
    <col min="2" max="2" width="14.5703125" customWidth="1"/>
    <col min="12" max="12" width="9.42578125" bestFit="1" customWidth="1"/>
    <col min="14" max="14" width="12.85546875" customWidth="1"/>
  </cols>
  <sheetData>
    <row r="1" spans="2:18" x14ac:dyDescent="0.25">
      <c r="B1" s="2" t="s">
        <v>36</v>
      </c>
      <c r="C1" s="2"/>
      <c r="D1" s="2"/>
      <c r="E1" s="2"/>
      <c r="F1" s="2"/>
      <c r="G1" s="2"/>
    </row>
    <row r="3" spans="2:18" x14ac:dyDescent="0.25">
      <c r="C3" s="1" t="s">
        <v>19</v>
      </c>
      <c r="D3" s="1"/>
      <c r="E3" s="1"/>
      <c r="F3" s="1"/>
      <c r="M3" s="9" t="s">
        <v>52</v>
      </c>
      <c r="N3" s="9"/>
      <c r="O3" s="9"/>
      <c r="P3" s="9"/>
      <c r="Q3" s="9"/>
      <c r="R3" s="9"/>
    </row>
    <row r="4" spans="2:18" x14ac:dyDescent="0.25">
      <c r="B4" t="e" cm="1" vm="14">
        <f t="array" ref="B4">_xlfn._xlws.PY(16,1)</f>
        <v>#VALUE!</v>
      </c>
      <c r="C4" t="str" cm="1">
        <f t="array" ref="C4:E9">_FV(B4,"arrayPreview")</f>
        <v/>
      </c>
      <c r="D4" t="str">
        <v>value</v>
      </c>
      <c r="E4" t="str">
        <v>employee</v>
      </c>
      <c r="L4" t="e" cm="1" vm="15">
        <f t="array" ref="L4">_xlfn._xlws.PY(17,1)</f>
        <v>#VALUE!</v>
      </c>
      <c r="M4" t="str" cm="1">
        <f t="array" ref="M4:O9">_FV(L4,"arrayPreview")</f>
        <v/>
      </c>
      <c r="N4" t="str">
        <v>employee_count</v>
      </c>
      <c r="O4" t="str">
        <v>conditional_value_sum</v>
      </c>
    </row>
    <row r="5" spans="2:18" x14ac:dyDescent="0.25">
      <c r="C5" t="str">
        <v>project</v>
      </c>
      <c r="D5" t="str">
        <v/>
      </c>
      <c r="E5" t="str">
        <v/>
      </c>
      <c r="M5" t="str">
        <v>project</v>
      </c>
      <c r="N5" t="str">
        <v/>
      </c>
      <c r="O5" t="str">
        <v/>
      </c>
    </row>
    <row r="6" spans="2:18" x14ac:dyDescent="0.25">
      <c r="C6" t="str">
        <v>A</v>
      </c>
      <c r="D6">
        <v>164.29999999999998</v>
      </c>
      <c r="E6">
        <v>29</v>
      </c>
      <c r="M6" t="str">
        <v>A</v>
      </c>
      <c r="N6">
        <v>29</v>
      </c>
      <c r="O6" s="14">
        <v>160.29999999999998</v>
      </c>
    </row>
    <row r="7" spans="2:18" x14ac:dyDescent="0.25">
      <c r="C7" t="str">
        <v>B</v>
      </c>
      <c r="D7">
        <v>187</v>
      </c>
      <c r="E7">
        <v>32</v>
      </c>
      <c r="M7" t="str">
        <v>B</v>
      </c>
      <c r="N7">
        <v>32</v>
      </c>
      <c r="O7" s="14">
        <v>186</v>
      </c>
    </row>
    <row r="8" spans="2:18" x14ac:dyDescent="0.25">
      <c r="C8" t="str">
        <v>C</v>
      </c>
      <c r="D8">
        <v>50.7</v>
      </c>
      <c r="E8">
        <v>14</v>
      </c>
      <c r="M8" t="str">
        <v>C</v>
      </c>
      <c r="N8">
        <v>14</v>
      </c>
      <c r="O8" s="14">
        <v>48.5</v>
      </c>
    </row>
    <row r="9" spans="2:18" x14ac:dyDescent="0.25">
      <c r="C9" t="str">
        <v>D</v>
      </c>
      <c r="D9">
        <v>87.4</v>
      </c>
      <c r="E9">
        <v>13</v>
      </c>
      <c r="M9" t="str">
        <v>D</v>
      </c>
      <c r="N9">
        <v>13</v>
      </c>
      <c r="O9" s="14">
        <v>87.4</v>
      </c>
    </row>
    <row r="14" spans="2:18" x14ac:dyDescent="0.25">
      <c r="F14" s="1" t="s">
        <v>42</v>
      </c>
      <c r="G14" s="1"/>
    </row>
    <row r="16" spans="2:18" x14ac:dyDescent="0.25">
      <c r="F16" cm="1" vm="1">
        <f t="array" ref="F16">_xlfn._xlws.PY(18,1)</f>
        <v>0</v>
      </c>
    </row>
    <row r="17" spans="7:11" x14ac:dyDescent="0.25">
      <c r="G17" s="1" t="s">
        <v>20</v>
      </c>
      <c r="H17" s="1"/>
      <c r="I17" s="1"/>
    </row>
    <row r="18" spans="7:11" x14ac:dyDescent="0.25">
      <c r="G18" t="e" cm="1" vm="16">
        <f t="array" ref="G18">_xlfn._xlws.PY(19,1)</f>
        <v>#VALUE!</v>
      </c>
      <c r="H18" t="str" cm="1">
        <f t="array" ref="H18:K23">_FV(G18,"arrayPreview")</f>
        <v/>
      </c>
      <c r="I18" t="str">
        <v>value</v>
      </c>
      <c r="J18" t="str">
        <v>employee</v>
      </c>
      <c r="K18" t="str">
        <v>result</v>
      </c>
    </row>
    <row r="19" spans="7:11" x14ac:dyDescent="0.25">
      <c r="H19" t="str">
        <v>project</v>
      </c>
      <c r="I19" t="str">
        <v/>
      </c>
      <c r="J19" t="str">
        <v/>
      </c>
      <c r="K19" t="str">
        <v/>
      </c>
    </row>
    <row r="20" spans="7:11" x14ac:dyDescent="0.25">
      <c r="H20" s="4" t="str">
        <v>A</v>
      </c>
      <c r="I20" s="4">
        <v>164.29999999999998</v>
      </c>
      <c r="J20" s="4">
        <v>29</v>
      </c>
      <c r="K20" s="5">
        <v>5.6655172413793098</v>
      </c>
    </row>
    <row r="21" spans="7:11" x14ac:dyDescent="0.25">
      <c r="H21" s="4" t="str">
        <v>B</v>
      </c>
      <c r="I21" s="4">
        <v>187</v>
      </c>
      <c r="J21" s="4">
        <v>32</v>
      </c>
      <c r="K21" s="5">
        <v>5.84375</v>
      </c>
    </row>
    <row r="22" spans="7:11" x14ac:dyDescent="0.25">
      <c r="H22" s="4" t="str">
        <v>C</v>
      </c>
      <c r="I22" s="4">
        <v>50.7</v>
      </c>
      <c r="J22" s="4">
        <v>14</v>
      </c>
      <c r="K22" s="5">
        <v>3.6214285714285714</v>
      </c>
    </row>
    <row r="23" spans="7:11" x14ac:dyDescent="0.25">
      <c r="H23" s="4" t="str">
        <v>D</v>
      </c>
      <c r="I23" s="4">
        <v>87.4</v>
      </c>
      <c r="J23" s="4">
        <v>13</v>
      </c>
      <c r="K23" s="5">
        <v>6.7230769230769232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E0096-FA8C-4921-9E29-880BD3DFB3A3}">
  <sheetPr codeName="Sheet6">
    <tabColor theme="6" tint="0.39997558519241921"/>
  </sheetPr>
  <dimension ref="B1:AD36"/>
  <sheetViews>
    <sheetView topLeftCell="G16" workbookViewId="0">
      <selection activeCell="V43" sqref="V43"/>
    </sheetView>
  </sheetViews>
  <sheetFormatPr defaultRowHeight="15" x14ac:dyDescent="0.25"/>
  <cols>
    <col min="2" max="2" width="14.5703125" customWidth="1"/>
    <col min="8" max="9" width="9.42578125" bestFit="1" customWidth="1"/>
    <col min="19" max="19" width="14" customWidth="1"/>
    <col min="21" max="21" width="7.140625" bestFit="1" customWidth="1"/>
    <col min="22" max="22" width="9.5703125" bestFit="1" customWidth="1"/>
    <col min="23" max="23" width="13.42578125" bestFit="1" customWidth="1"/>
    <col min="24" max="24" width="9.85546875" customWidth="1"/>
    <col min="25" max="25" width="9.7109375" bestFit="1" customWidth="1"/>
    <col min="26" max="26" width="13.5703125" bestFit="1" customWidth="1"/>
    <col min="27" max="28" width="10" bestFit="1" customWidth="1"/>
    <col min="29" max="29" width="13.85546875" bestFit="1" customWidth="1"/>
    <col min="30" max="30" width="10.28515625" bestFit="1" customWidth="1"/>
  </cols>
  <sheetData>
    <row r="1" spans="2:9" x14ac:dyDescent="0.25">
      <c r="B1" s="2" t="s">
        <v>36</v>
      </c>
      <c r="C1" s="2"/>
      <c r="D1" s="2"/>
      <c r="E1" s="2"/>
      <c r="F1" s="2"/>
      <c r="G1" s="2"/>
      <c r="H1" s="2"/>
      <c r="I1" s="2"/>
    </row>
    <row r="3" spans="2:9" x14ac:dyDescent="0.25">
      <c r="C3" s="1" t="s">
        <v>43</v>
      </c>
      <c r="D3" s="1"/>
      <c r="E3" s="1"/>
      <c r="F3" s="1"/>
      <c r="G3" s="1"/>
      <c r="H3" s="1"/>
    </row>
    <row r="4" spans="2:9" x14ac:dyDescent="0.25">
      <c r="B4" t="e" cm="1" vm="17">
        <f t="array" ref="B4">_xlfn._xlws.PY(20,1)</f>
        <v>#VALUE!</v>
      </c>
      <c r="C4" t="str" cm="1">
        <f t="array" ref="C4:F16">_FV(B4,"arrayPreview")</f>
        <v/>
      </c>
      <c r="D4" t="str">
        <v/>
      </c>
      <c r="E4" t="str">
        <v>value</v>
      </c>
      <c r="F4" t="str">
        <v>employee</v>
      </c>
    </row>
    <row r="5" spans="2:9" x14ac:dyDescent="0.25">
      <c r="C5" s="8" t="str">
        <v>project</v>
      </c>
      <c r="D5" s="8" t="str">
        <v>month</v>
      </c>
      <c r="E5" t="str">
        <v/>
      </c>
      <c r="F5" t="str">
        <v/>
      </c>
    </row>
    <row r="6" spans="2:9" x14ac:dyDescent="0.25">
      <c r="C6" t="str">
        <v>A</v>
      </c>
      <c r="D6" t="str">
        <v>Jan</v>
      </c>
      <c r="E6">
        <v>146.69999999999999</v>
      </c>
      <c r="F6">
        <v>21</v>
      </c>
    </row>
    <row r="7" spans="2:9" x14ac:dyDescent="0.25">
      <c r="C7" t="str">
        <v>A</v>
      </c>
      <c r="D7" t="str">
        <v>Feb</v>
      </c>
      <c r="E7">
        <v>7.7</v>
      </c>
      <c r="F7">
        <v>3</v>
      </c>
    </row>
    <row r="8" spans="2:9" x14ac:dyDescent="0.25">
      <c r="C8" t="str">
        <v>A</v>
      </c>
      <c r="D8" t="str">
        <v>Mar</v>
      </c>
      <c r="E8">
        <v>9.9</v>
      </c>
      <c r="F8">
        <v>5</v>
      </c>
    </row>
    <row r="9" spans="2:9" x14ac:dyDescent="0.25">
      <c r="C9" t="str">
        <v>B</v>
      </c>
      <c r="D9" t="str">
        <v>Jan</v>
      </c>
      <c r="E9">
        <v>118.5</v>
      </c>
      <c r="F9">
        <v>25</v>
      </c>
    </row>
    <row r="10" spans="2:9" x14ac:dyDescent="0.25">
      <c r="C10" t="str">
        <v>B</v>
      </c>
      <c r="D10" t="str">
        <v>Feb</v>
      </c>
      <c r="E10">
        <v>33</v>
      </c>
      <c r="F10">
        <v>3</v>
      </c>
    </row>
    <row r="11" spans="2:9" x14ac:dyDescent="0.25">
      <c r="C11" t="str">
        <v>...</v>
      </c>
      <c r="D11" t="str">
        <v>...</v>
      </c>
      <c r="E11" t="str">
        <v>...</v>
      </c>
      <c r="F11" t="str">
        <v>...</v>
      </c>
    </row>
    <row r="12" spans="2:9" x14ac:dyDescent="0.25">
      <c r="C12" t="str">
        <v>C</v>
      </c>
      <c r="D12" t="str">
        <v>Feb</v>
      </c>
      <c r="E12">
        <v>13</v>
      </c>
      <c r="F12">
        <v>1</v>
      </c>
    </row>
    <row r="13" spans="2:9" x14ac:dyDescent="0.25">
      <c r="C13" t="str">
        <v>C</v>
      </c>
      <c r="D13" t="str">
        <v>Mar</v>
      </c>
      <c r="E13">
        <v>13.4</v>
      </c>
      <c r="F13">
        <v>2</v>
      </c>
    </row>
    <row r="14" spans="2:9" x14ac:dyDescent="0.25">
      <c r="C14" t="str">
        <v>D</v>
      </c>
      <c r="D14" t="str">
        <v>Jan</v>
      </c>
      <c r="E14">
        <v>82.5</v>
      </c>
      <c r="F14">
        <v>11</v>
      </c>
      <c r="H14" s="1" t="s">
        <v>42</v>
      </c>
      <c r="I14" s="1"/>
    </row>
    <row r="15" spans="2:9" x14ac:dyDescent="0.25">
      <c r="C15" t="str">
        <v>D</v>
      </c>
      <c r="D15" t="str">
        <v>Feb</v>
      </c>
      <c r="E15">
        <v>0.9</v>
      </c>
      <c r="F15">
        <v>1</v>
      </c>
    </row>
    <row r="16" spans="2:9" x14ac:dyDescent="0.25">
      <c r="C16" t="str">
        <v>D</v>
      </c>
      <c r="D16" t="str">
        <v>Mar</v>
      </c>
      <c r="E16">
        <v>4</v>
      </c>
      <c r="F16">
        <v>1</v>
      </c>
      <c r="H16" cm="1" vm="1">
        <f t="array" ref="H16">_xlfn._xlws.PY(18,1)</f>
        <v>0</v>
      </c>
    </row>
    <row r="17" spans="9:30" x14ac:dyDescent="0.25">
      <c r="I17" s="1" t="s">
        <v>20</v>
      </c>
      <c r="J17" s="1"/>
      <c r="K17" s="1"/>
    </row>
    <row r="18" spans="9:30" x14ac:dyDescent="0.25">
      <c r="I18" t="e" cm="1" vm="18">
        <f t="array" ref="I18">_xlfn._xlws.PY(21,1)</f>
        <v>#VALUE!</v>
      </c>
      <c r="J18" s="10" t="str" cm="1">
        <f t="array" ref="J18:S24">_FV(I18,"arrayPreview")</f>
        <v/>
      </c>
      <c r="K18" s="10" t="str">
        <v>employee</v>
      </c>
      <c r="L18" s="10" t="str">
        <v>employee</v>
      </c>
      <c r="M18" s="10" t="str">
        <v>employee</v>
      </c>
      <c r="N18" s="10" t="str">
        <v>result</v>
      </c>
      <c r="O18" s="10" t="str">
        <v>result</v>
      </c>
      <c r="P18" s="10" t="str">
        <v>result</v>
      </c>
      <c r="Q18" s="10" t="str">
        <v>value</v>
      </c>
      <c r="R18" s="10" t="str">
        <v>value</v>
      </c>
      <c r="S18" s="10" t="str">
        <v>value</v>
      </c>
    </row>
    <row r="19" spans="9:30" x14ac:dyDescent="0.25">
      <c r="J19" s="10" t="str">
        <v>month</v>
      </c>
      <c r="K19" s="10" t="str">
        <v>Jan</v>
      </c>
      <c r="L19" s="10" t="str">
        <v>Feb</v>
      </c>
      <c r="M19" s="10" t="str">
        <v>Mar</v>
      </c>
      <c r="N19" s="10" t="str">
        <v>Jan</v>
      </c>
      <c r="O19" s="10" t="str">
        <v>Feb</v>
      </c>
      <c r="P19" s="10" t="str">
        <v>Mar</v>
      </c>
      <c r="Q19" s="10" t="str">
        <v>Jan</v>
      </c>
      <c r="R19" s="10" t="str">
        <v>Feb</v>
      </c>
      <c r="S19" s="10" t="str">
        <v>Mar</v>
      </c>
    </row>
    <row r="20" spans="9:30" x14ac:dyDescent="0.25">
      <c r="J20" s="10" t="str">
        <v>project</v>
      </c>
      <c r="K20" s="10" t="str">
        <v/>
      </c>
      <c r="L20" s="10" t="str">
        <v/>
      </c>
      <c r="M20" s="11" t="str">
        <v/>
      </c>
      <c r="N20" s="10" t="str">
        <v/>
      </c>
      <c r="O20" s="10" t="str">
        <v/>
      </c>
      <c r="P20" s="10" t="str">
        <v/>
      </c>
      <c r="Q20" s="10" t="str">
        <v/>
      </c>
      <c r="R20" s="10" t="str">
        <v/>
      </c>
      <c r="S20" s="10" t="str">
        <v/>
      </c>
    </row>
    <row r="21" spans="9:30" x14ac:dyDescent="0.25">
      <c r="J21" s="10" t="str">
        <v>A</v>
      </c>
      <c r="K21" s="12">
        <v>21</v>
      </c>
      <c r="L21" s="13">
        <v>3</v>
      </c>
      <c r="M21" s="12">
        <v>5</v>
      </c>
      <c r="N21" s="12">
        <v>6.9857142857142849</v>
      </c>
      <c r="O21" s="13">
        <v>2.5666666666666669</v>
      </c>
      <c r="P21" s="12">
        <v>1.98</v>
      </c>
      <c r="Q21" s="12">
        <v>146.69999999999999</v>
      </c>
      <c r="R21" s="13">
        <v>7.7</v>
      </c>
      <c r="S21" s="12">
        <v>9.9</v>
      </c>
    </row>
    <row r="22" spans="9:30" x14ac:dyDescent="0.25">
      <c r="J22" s="10" t="str">
        <v>B</v>
      </c>
      <c r="K22" s="12">
        <v>25</v>
      </c>
      <c r="L22" s="12">
        <v>3</v>
      </c>
      <c r="M22" s="12">
        <v>4</v>
      </c>
      <c r="N22" s="12">
        <v>4.74</v>
      </c>
      <c r="O22" s="12">
        <v>11</v>
      </c>
      <c r="P22" s="12">
        <v>8.875</v>
      </c>
      <c r="Q22" s="12">
        <v>118.5</v>
      </c>
      <c r="R22" s="12">
        <v>33</v>
      </c>
      <c r="S22" s="12">
        <v>35.5</v>
      </c>
    </row>
    <row r="23" spans="9:30" x14ac:dyDescent="0.25">
      <c r="J23" s="10" t="str">
        <v>C</v>
      </c>
      <c r="K23" s="12">
        <v>11</v>
      </c>
      <c r="L23" s="12">
        <v>1</v>
      </c>
      <c r="M23" s="12">
        <v>2</v>
      </c>
      <c r="N23" s="12">
        <v>2.209090909090909</v>
      </c>
      <c r="O23" s="12">
        <v>13</v>
      </c>
      <c r="P23" s="12">
        <v>6.7</v>
      </c>
      <c r="Q23" s="12">
        <v>24.3</v>
      </c>
      <c r="R23" s="12">
        <v>13</v>
      </c>
      <c r="S23" s="12">
        <v>13.4</v>
      </c>
    </row>
    <row r="24" spans="9:30" x14ac:dyDescent="0.25">
      <c r="J24" s="10" t="str">
        <v>D</v>
      </c>
      <c r="K24" s="12">
        <v>11</v>
      </c>
      <c r="L24" s="12">
        <v>1</v>
      </c>
      <c r="M24" s="12">
        <v>1</v>
      </c>
      <c r="N24" s="12">
        <v>7.5</v>
      </c>
      <c r="O24" s="12">
        <v>0.9</v>
      </c>
      <c r="P24" s="12">
        <v>4</v>
      </c>
      <c r="Q24" s="12">
        <v>82.5</v>
      </c>
      <c r="R24" s="12">
        <v>0.9</v>
      </c>
      <c r="S24" s="12">
        <v>4</v>
      </c>
    </row>
    <row r="27" spans="9:30" x14ac:dyDescent="0.25">
      <c r="S27" s="9" t="s">
        <v>44</v>
      </c>
      <c r="T27" s="9"/>
      <c r="U27" s="9"/>
      <c r="V27" s="9"/>
    </row>
    <row r="28" spans="9:30" x14ac:dyDescent="0.25">
      <c r="I28" s="9"/>
      <c r="J28" s="9"/>
      <c r="S28" cm="1" vm="1">
        <f t="array" ref="S28">_xlfn._xlws.PY(22,1)</f>
        <v>0</v>
      </c>
    </row>
    <row r="29" spans="9:30" x14ac:dyDescent="0.25">
      <c r="I29" s="9"/>
      <c r="J29" s="9"/>
      <c r="Q29" s="9" t="s">
        <v>46</v>
      </c>
      <c r="R29" s="9"/>
      <c r="S29" cm="1" vm="1">
        <f t="array" ref="S29">_xlfn._xlws.PY(23,1)</f>
        <v>0</v>
      </c>
    </row>
    <row r="30" spans="9:30" x14ac:dyDescent="0.25">
      <c r="I30" s="9"/>
      <c r="J30" s="9"/>
      <c r="S30" t="e" cm="1" vm="19">
        <f t="array" ref="S30">_xlfn._xlws.PY(24,1)</f>
        <v>#VALUE!</v>
      </c>
    </row>
    <row r="31" spans="9:30" x14ac:dyDescent="0.25">
      <c r="S31" cm="1" vm="1">
        <f t="array" ref="S31">_xlfn._xlws.PY(25,1)</f>
        <v>0</v>
      </c>
    </row>
    <row r="32" spans="9:30" x14ac:dyDescent="0.25">
      <c r="T32" t="str" cm="1">
        <f t="array" ref="T32:AD36">_FV(S33,"arrayPreview")</f>
        <v/>
      </c>
      <c r="U32" s="14" t="str">
        <v>project</v>
      </c>
      <c r="V32" s="15" t="str">
        <v>Jan_value</v>
      </c>
      <c r="W32" s="15" t="str">
        <v>Jan_employee</v>
      </c>
      <c r="X32" s="15" t="str">
        <v>Jan_result</v>
      </c>
      <c r="Y32" s="15" t="str">
        <v>Feb_value</v>
      </c>
      <c r="Z32" s="15" t="str">
        <v>Feb_employee</v>
      </c>
      <c r="AA32" s="15" t="str">
        <v>Feb_result</v>
      </c>
      <c r="AB32" s="15" t="str">
        <v>Mar_value</v>
      </c>
      <c r="AC32" s="15" t="str">
        <v>Mar_employee</v>
      </c>
      <c r="AD32" s="15" t="str">
        <v>Mar_result</v>
      </c>
    </row>
    <row r="33" spans="19:30" x14ac:dyDescent="0.25">
      <c r="S33" t="e" cm="1" vm="20">
        <f t="array" ref="S33">_xlfn._xlws.PY(26,1)</f>
        <v>#VALUE!</v>
      </c>
      <c r="T33">
        <v>0</v>
      </c>
      <c r="U33" s="14" t="str">
        <v>A</v>
      </c>
      <c r="V33" s="16">
        <v>146.69999999999999</v>
      </c>
      <c r="W33" s="16">
        <v>21</v>
      </c>
      <c r="X33" s="16">
        <v>6.9857142857142849</v>
      </c>
      <c r="Y33" s="13">
        <v>7.7</v>
      </c>
      <c r="Z33" s="13">
        <v>3</v>
      </c>
      <c r="AA33" s="13">
        <v>2.5666666666666669</v>
      </c>
      <c r="AB33" s="16">
        <v>9.9</v>
      </c>
      <c r="AC33" s="16">
        <v>5</v>
      </c>
      <c r="AD33" s="16">
        <v>1.98</v>
      </c>
    </row>
    <row r="34" spans="19:30" x14ac:dyDescent="0.25">
      <c r="T34">
        <v>1</v>
      </c>
      <c r="U34" s="14" t="str">
        <v>B</v>
      </c>
      <c r="V34" s="16">
        <v>118.5</v>
      </c>
      <c r="W34" s="16">
        <v>25</v>
      </c>
      <c r="X34" s="16">
        <v>4.74</v>
      </c>
      <c r="Y34" s="16">
        <v>33</v>
      </c>
      <c r="Z34" s="16">
        <v>3</v>
      </c>
      <c r="AA34" s="16">
        <v>11</v>
      </c>
      <c r="AB34" s="16">
        <v>35.5</v>
      </c>
      <c r="AC34" s="16">
        <v>4</v>
      </c>
      <c r="AD34" s="16">
        <v>8.875</v>
      </c>
    </row>
    <row r="35" spans="19:30" x14ac:dyDescent="0.25">
      <c r="T35">
        <v>2</v>
      </c>
      <c r="U35" s="14" t="str">
        <v>C</v>
      </c>
      <c r="V35" s="16">
        <v>24.3</v>
      </c>
      <c r="W35" s="16">
        <v>11</v>
      </c>
      <c r="X35" s="16">
        <v>2.209090909090909</v>
      </c>
      <c r="Y35" s="16">
        <v>13</v>
      </c>
      <c r="Z35" s="16">
        <v>1</v>
      </c>
      <c r="AA35" s="16">
        <v>13</v>
      </c>
      <c r="AB35" s="16">
        <v>13.4</v>
      </c>
      <c r="AC35" s="16">
        <v>2</v>
      </c>
      <c r="AD35" s="16">
        <v>6.7</v>
      </c>
    </row>
    <row r="36" spans="19:30" x14ac:dyDescent="0.25">
      <c r="T36">
        <v>3</v>
      </c>
      <c r="U36" s="14" t="str">
        <v>D</v>
      </c>
      <c r="V36" s="16">
        <v>82.5</v>
      </c>
      <c r="W36" s="16">
        <v>11</v>
      </c>
      <c r="X36" s="16">
        <v>7.5</v>
      </c>
      <c r="Y36" s="16">
        <v>0.9</v>
      </c>
      <c r="Z36" s="16">
        <v>1</v>
      </c>
      <c r="AA36" s="16">
        <v>0.9</v>
      </c>
      <c r="AB36" s="16">
        <v>4</v>
      </c>
      <c r="AC36" s="16">
        <v>1</v>
      </c>
      <c r="AD36" s="16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8D509-803B-49E5-A5A8-10EE01F0C31F}">
  <sheetPr codeName="Sheet8">
    <tabColor rgb="FF00B050"/>
  </sheetPr>
  <dimension ref="A1:E30"/>
  <sheetViews>
    <sheetView workbookViewId="0">
      <selection activeCell="A5" sqref="A5"/>
    </sheetView>
  </sheetViews>
  <sheetFormatPr defaultRowHeight="15" x14ac:dyDescent="0.25"/>
  <cols>
    <col min="1" max="1" width="14.140625" customWidth="1"/>
  </cols>
  <sheetData>
    <row r="1" spans="1:2" x14ac:dyDescent="0.25">
      <c r="A1" t="s">
        <v>45</v>
      </c>
    </row>
    <row r="2" spans="1:2" x14ac:dyDescent="0.25">
      <c r="A2" t="e" cm="1" vm="21">
        <f t="array" ref="A2">_xlfn._xlws.PY(27,1)</f>
        <v>#VALUE!</v>
      </c>
    </row>
    <row r="4" spans="1:2" x14ac:dyDescent="0.25">
      <c r="A4" t="s">
        <v>47</v>
      </c>
    </row>
    <row r="5" spans="1:2" x14ac:dyDescent="0.25">
      <c r="A5" t="e" cm="1" vm="22">
        <f t="array" ref="A5">_xlfn._xlws.PY(28,1)</f>
        <v>#VALUE!</v>
      </c>
      <c r="B5" t="e" cm="1" vm="23">
        <f t="array" ref="B5">_FV(A5,"image")</f>
        <v>#VALUE!</v>
      </c>
    </row>
    <row r="30" spans="5:5" x14ac:dyDescent="0.25">
      <c r="E30" t="s">
        <v>48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9FD3C-B214-4E04-8FBE-30B30B52FAC7}">
  <sheetPr codeName="Sheet9"/>
  <dimension ref="A1:F7"/>
  <sheetViews>
    <sheetView workbookViewId="0">
      <selection activeCell="F2" sqref="F2"/>
    </sheetView>
  </sheetViews>
  <sheetFormatPr defaultRowHeight="15" x14ac:dyDescent="0.25"/>
  <cols>
    <col min="2" max="2" width="10.5703125" customWidth="1"/>
    <col min="6" max="6" width="15.28515625" customWidth="1"/>
  </cols>
  <sheetData>
    <row r="1" spans="1:6" x14ac:dyDescent="0.25">
      <c r="A1" t="s">
        <v>55</v>
      </c>
      <c r="B1" t="s">
        <v>56</v>
      </c>
      <c r="C1" t="s">
        <v>57</v>
      </c>
    </row>
    <row r="2" spans="1:6" x14ac:dyDescent="0.25">
      <c r="A2" t="s">
        <v>58</v>
      </c>
      <c r="B2">
        <v>1</v>
      </c>
      <c r="C2" t="s">
        <v>60</v>
      </c>
      <c r="F2" cm="1" vm="1">
        <f t="array" ref="F2">_xlfn._xlws.PY(29,1,Table2[])</f>
        <v>0</v>
      </c>
    </row>
    <row r="3" spans="1:6" x14ac:dyDescent="0.25">
      <c r="A3" t="s">
        <v>58</v>
      </c>
      <c r="B3">
        <v>2</v>
      </c>
      <c r="C3" t="s">
        <v>61</v>
      </c>
    </row>
    <row r="4" spans="1:6" x14ac:dyDescent="0.25">
      <c r="A4" t="s">
        <v>59</v>
      </c>
      <c r="B4">
        <v>9</v>
      </c>
      <c r="C4" t="s">
        <v>62</v>
      </c>
    </row>
    <row r="5" spans="1:6" x14ac:dyDescent="0.25">
      <c r="A5" t="s">
        <v>59</v>
      </c>
      <c r="B5">
        <v>8</v>
      </c>
      <c r="C5" t="s">
        <v>63</v>
      </c>
    </row>
    <row r="6" spans="1:6" x14ac:dyDescent="0.25">
      <c r="A6" t="s">
        <v>59</v>
      </c>
      <c r="B6">
        <v>7</v>
      </c>
      <c r="C6" t="s">
        <v>63</v>
      </c>
    </row>
    <row r="7" spans="1:6" x14ac:dyDescent="0.25">
      <c r="A7" t="s">
        <v>59</v>
      </c>
      <c r="B7">
        <v>2</v>
      </c>
      <c r="C7" t="s">
        <v>64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A289C-C971-43CC-9142-0EE52FD5162F}">
  <sheetPr codeName="Sheet5">
    <tabColor theme="0"/>
  </sheetPr>
  <dimension ref="F8:F21"/>
  <sheetViews>
    <sheetView workbookViewId="0">
      <selection activeCell="N7" sqref="N7"/>
    </sheetView>
  </sheetViews>
  <sheetFormatPr defaultRowHeight="15" x14ac:dyDescent="0.25"/>
  <sheetData>
    <row r="8" spans="6:6" x14ac:dyDescent="0.25">
      <c r="F8" t="s">
        <v>21</v>
      </c>
    </row>
    <row r="10" spans="6:6" x14ac:dyDescent="0.25">
      <c r="F10" t="s">
        <v>22</v>
      </c>
    </row>
    <row r="11" spans="6:6" x14ac:dyDescent="0.25">
      <c r="F11" t="s">
        <v>23</v>
      </c>
    </row>
    <row r="12" spans="6:6" x14ac:dyDescent="0.25">
      <c r="F12" t="s">
        <v>24</v>
      </c>
    </row>
    <row r="14" spans="6:6" x14ac:dyDescent="0.25">
      <c r="F14" t="s">
        <v>25</v>
      </c>
    </row>
    <row r="15" spans="6:6" x14ac:dyDescent="0.25">
      <c r="F15" t="s">
        <v>26</v>
      </c>
    </row>
    <row r="17" spans="6:6" x14ac:dyDescent="0.25">
      <c r="F17" t="s">
        <v>27</v>
      </c>
    </row>
    <row r="18" spans="6:6" x14ac:dyDescent="0.25">
      <c r="F18" t="s">
        <v>28</v>
      </c>
    </row>
    <row r="20" spans="6:6" x14ac:dyDescent="0.25">
      <c r="F20" t="s">
        <v>29</v>
      </c>
    </row>
    <row r="21" spans="6:6" x14ac:dyDescent="0.25">
      <c r="F21" t="s">
        <v>30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7BD6C8-7913-478B-9632-C4173C66E1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Connection</vt:lpstr>
      <vt:lpstr>Pivot</vt:lpstr>
      <vt:lpstr>Data</vt:lpstr>
      <vt:lpstr>Location</vt:lpstr>
      <vt:lpstr>Result</vt:lpstr>
      <vt:lpstr>Result (2)</vt:lpstr>
      <vt:lpstr>Bar_Chart</vt:lpstr>
      <vt:lpstr>Multi_line_PY</vt:lpstr>
      <vt:lpstr>order number months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r</dc:creator>
  <cp:lastModifiedBy>scott garbera</cp:lastModifiedBy>
  <dcterms:created xsi:type="dcterms:W3CDTF">2025-04-15T05:00:19Z</dcterms:created>
  <dcterms:modified xsi:type="dcterms:W3CDTF">2025-07-10T15:34:05Z</dcterms:modified>
</cp:coreProperties>
</file>